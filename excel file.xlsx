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75D8E3B0-EEB4-4949-A09E-768BBC29C1B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 Data" sheetId="1" r:id="rId1"/>
  </sheets>
  <definedNames>
    <definedName name="_xlnm._FilterDatabase" localSheetId="0" hidden="1">'Sales Data'!$A$1:$L$701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2" i="1"/>
</calcChain>
</file>

<file path=xl/sharedStrings.xml><?xml version="1.0" encoding="utf-8"?>
<sst xmlns="http://schemas.openxmlformats.org/spreadsheetml/2006/main" count="4915" uniqueCount="952">
  <si>
    <t>Order ID</t>
  </si>
  <si>
    <t>Order Date</t>
  </si>
  <si>
    <t>Customer ID</t>
  </si>
  <si>
    <t>Product</t>
  </si>
  <si>
    <t>Category</t>
  </si>
  <si>
    <t>Region/City</t>
  </si>
  <si>
    <t>Quantity</t>
  </si>
  <si>
    <t>Sales</t>
  </si>
  <si>
    <t>Discount</t>
  </si>
  <si>
    <t>Profit</t>
  </si>
  <si>
    <t>Payment Method</t>
  </si>
  <si>
    <t>Customer Type</t>
  </si>
  <si>
    <t>Discount Amount</t>
  </si>
  <si>
    <t>Profit Margin</t>
  </si>
  <si>
    <t>Order Month</t>
  </si>
  <si>
    <t>ORD-0001</t>
  </si>
  <si>
    <t>CUST-1015</t>
  </si>
  <si>
    <t>Sunscreen</t>
  </si>
  <si>
    <t>Beauty</t>
  </si>
  <si>
    <t>Chandigarh</t>
  </si>
  <si>
    <t>Net Banking</t>
  </si>
  <si>
    <t>Returning</t>
  </si>
  <si>
    <t>ORD-0002</t>
  </si>
  <si>
    <t>CUST-1002</t>
  </si>
  <si>
    <t>Kurta</t>
  </si>
  <si>
    <t>Clothing</t>
  </si>
  <si>
    <t>Ghaziabad</t>
  </si>
  <si>
    <t>Credit Card</t>
  </si>
  <si>
    <t>ORD-0003</t>
  </si>
  <si>
    <t>CUST-1049</t>
  </si>
  <si>
    <t>Face Wash</t>
  </si>
  <si>
    <t>Lucknow</t>
  </si>
  <si>
    <t>Debit Card</t>
  </si>
  <si>
    <t>ORD-0004</t>
  </si>
  <si>
    <t>CUST-1131</t>
  </si>
  <si>
    <t>Gurugram</t>
  </si>
  <si>
    <t>New</t>
  </si>
  <si>
    <t>ORD-0005</t>
  </si>
  <si>
    <t>CUST-1084</t>
  </si>
  <si>
    <t>Programming Book</t>
  </si>
  <si>
    <t>Books</t>
  </si>
  <si>
    <t>Delhi</t>
  </si>
  <si>
    <t>Cash on Delivery</t>
  </si>
  <si>
    <t>ORD-0006</t>
  </si>
  <si>
    <t>CUST-1134</t>
  </si>
  <si>
    <t>Shampoo</t>
  </si>
  <si>
    <t>ORD-0007</t>
  </si>
  <si>
    <t>CUST-1190</t>
  </si>
  <si>
    <t>ORD-0008</t>
  </si>
  <si>
    <t>CUST-1157</t>
  </si>
  <si>
    <t>Novel</t>
  </si>
  <si>
    <t>ORD-0009</t>
  </si>
  <si>
    <t>CUST-1033</t>
  </si>
  <si>
    <t>Jacket</t>
  </si>
  <si>
    <t>ORD-0010</t>
  </si>
  <si>
    <t>CUST-1172</t>
  </si>
  <si>
    <t>Business Book</t>
  </si>
  <si>
    <t>ORD-0011</t>
  </si>
  <si>
    <t>T-Shirt</t>
  </si>
  <si>
    <t>ORD-0012</t>
  </si>
  <si>
    <t>CUST-1143</t>
  </si>
  <si>
    <t>Data Science Book</t>
  </si>
  <si>
    <t>ORD-0013</t>
  </si>
  <si>
    <t>CUST-1028</t>
  </si>
  <si>
    <t>Self-Help Book</t>
  </si>
  <si>
    <t>UPI</t>
  </si>
  <si>
    <t>ORD-0014</t>
  </si>
  <si>
    <t>CUST-1121</t>
  </si>
  <si>
    <t>Laptop</t>
  </si>
  <si>
    <t>Electronics</t>
  </si>
  <si>
    <t>Noida</t>
  </si>
  <si>
    <t>ORD-0015</t>
  </si>
  <si>
    <t>Tablet</t>
  </si>
  <si>
    <t>ORD-0016</t>
  </si>
  <si>
    <t>CUST-1113</t>
  </si>
  <si>
    <t>Coffee Maker</t>
  </si>
  <si>
    <t>Home &amp; Kitchen</t>
  </si>
  <si>
    <t>Jaipur</t>
  </si>
  <si>
    <t>ORD-0017</t>
  </si>
  <si>
    <t>CUST-1126</t>
  </si>
  <si>
    <t>ORD-0018</t>
  </si>
  <si>
    <t>CUST-1098</t>
  </si>
  <si>
    <t>ORD-0019</t>
  </si>
  <si>
    <t>CUST-1164</t>
  </si>
  <si>
    <t>Perfume</t>
  </si>
  <si>
    <t>ORD-0020</t>
  </si>
  <si>
    <t>CUST-1185</t>
  </si>
  <si>
    <t>Sneakers</t>
  </si>
  <si>
    <t>ORD-0021</t>
  </si>
  <si>
    <t>CUST-1197</t>
  </si>
  <si>
    <t>Headphones</t>
  </si>
  <si>
    <t>ORD-0022</t>
  </si>
  <si>
    <t>CUST-1075</t>
  </si>
  <si>
    <t>ORD-0023</t>
  </si>
  <si>
    <t>CUST-1194</t>
  </si>
  <si>
    <t>Mixer Grinder</t>
  </si>
  <si>
    <t>ORD-0024</t>
  </si>
  <si>
    <t>CUST-1128</t>
  </si>
  <si>
    <t>ORD-0025</t>
  </si>
  <si>
    <t>CUST-1021</t>
  </si>
  <si>
    <t>ORD-0026</t>
  </si>
  <si>
    <t>ORD-0027</t>
  </si>
  <si>
    <t>CUST-1188</t>
  </si>
  <si>
    <t>ORD-0028</t>
  </si>
  <si>
    <t>CUST-1104</t>
  </si>
  <si>
    <t>ORD-0029</t>
  </si>
  <si>
    <t>CUST-1043</t>
  </si>
  <si>
    <t>Faridabad</t>
  </si>
  <si>
    <t>ORD-0030</t>
  </si>
  <si>
    <t>CUST-1173</t>
  </si>
  <si>
    <t>ORD-0031</t>
  </si>
  <si>
    <t>CUST-1186</t>
  </si>
  <si>
    <t>ORD-0032</t>
  </si>
  <si>
    <t>CUST-1060</t>
  </si>
  <si>
    <t>Smartwatch</t>
  </si>
  <si>
    <t>ORD-0033</t>
  </si>
  <si>
    <t>CUST-1114</t>
  </si>
  <si>
    <t>ORD-0034</t>
  </si>
  <si>
    <t>CUST-1140</t>
  </si>
  <si>
    <t>ORD-0035</t>
  </si>
  <si>
    <t>CUST-1022</t>
  </si>
  <si>
    <t>ORD-0036</t>
  </si>
  <si>
    <t>ORD-0037</t>
  </si>
  <si>
    <t>CUST-1100</t>
  </si>
  <si>
    <t>Vacuum Cleaner</t>
  </si>
  <si>
    <t>ORD-0038</t>
  </si>
  <si>
    <t>Air Fryer</t>
  </si>
  <si>
    <t>ORD-0039</t>
  </si>
  <si>
    <t>CUST-1067</t>
  </si>
  <si>
    <t>ORD-0040</t>
  </si>
  <si>
    <t>CUST-1081</t>
  </si>
  <si>
    <t>ORD-0041</t>
  </si>
  <si>
    <t>ORD-0042</t>
  </si>
  <si>
    <t>CUST-1096</t>
  </si>
  <si>
    <t>ORD-0043</t>
  </si>
  <si>
    <t>CUST-1086</t>
  </si>
  <si>
    <t>ORD-0044</t>
  </si>
  <si>
    <t>CUST-1111</t>
  </si>
  <si>
    <t>ORD-0045</t>
  </si>
  <si>
    <t>CUST-1181</t>
  </si>
  <si>
    <t>ORD-0046</t>
  </si>
  <si>
    <t>CUST-1074</t>
  </si>
  <si>
    <t>ORD-0047</t>
  </si>
  <si>
    <t>CUST-1065</t>
  </si>
  <si>
    <t>ORD-0048</t>
  </si>
  <si>
    <t>CUST-1090</t>
  </si>
  <si>
    <t>Jeans</t>
  </si>
  <si>
    <t>ORD-0049</t>
  </si>
  <si>
    <t>CUST-1092</t>
  </si>
  <si>
    <t>ORD-0050</t>
  </si>
  <si>
    <t>CUST-1047</t>
  </si>
  <si>
    <t>ORD-0051</t>
  </si>
  <si>
    <t>CUST-1117</t>
  </si>
  <si>
    <t>ORD-0052</t>
  </si>
  <si>
    <t>ORD-0053</t>
  </si>
  <si>
    <t>CUST-1161</t>
  </si>
  <si>
    <t>ORD-0054</t>
  </si>
  <si>
    <t>ORD-0055</t>
  </si>
  <si>
    <t>CUST-1085</t>
  </si>
  <si>
    <t>ORD-0056</t>
  </si>
  <si>
    <t>ORD-0057</t>
  </si>
  <si>
    <t>CUST-1110</t>
  </si>
  <si>
    <t>ORD-0058</t>
  </si>
  <si>
    <t>CUST-1162</t>
  </si>
  <si>
    <t>ORD-0059</t>
  </si>
  <si>
    <t>CUST-1142</t>
  </si>
  <si>
    <t>ORD-0060</t>
  </si>
  <si>
    <t>CUST-1191</t>
  </si>
  <si>
    <t>ORD-0061</t>
  </si>
  <si>
    <t>ORD-0062</t>
  </si>
  <si>
    <t>ORD-0063</t>
  </si>
  <si>
    <t>CUST-1122</t>
  </si>
  <si>
    <t>ORD-0064</t>
  </si>
  <si>
    <t>CUST-1046</t>
  </si>
  <si>
    <t>ORD-0065</t>
  </si>
  <si>
    <t>ORD-0066</t>
  </si>
  <si>
    <t>CUST-1154</t>
  </si>
  <si>
    <t>ORD-0067</t>
  </si>
  <si>
    <t>CUST-1115</t>
  </si>
  <si>
    <t>ORD-0068</t>
  </si>
  <si>
    <t>CUST-1013</t>
  </si>
  <si>
    <t>ORD-0069</t>
  </si>
  <si>
    <t>CUST-1083</t>
  </si>
  <si>
    <t>ORD-0070</t>
  </si>
  <si>
    <t>ORD-0071</t>
  </si>
  <si>
    <t>CUST-1036</t>
  </si>
  <si>
    <t>ORD-0072</t>
  </si>
  <si>
    <t>CUST-1136</t>
  </si>
  <si>
    <t>ORD-0073</t>
  </si>
  <si>
    <t>ORD-0074</t>
  </si>
  <si>
    <t>CUST-1010</t>
  </si>
  <si>
    <t>Smartphone</t>
  </si>
  <si>
    <t>ORD-0075</t>
  </si>
  <si>
    <t>ORD-0076</t>
  </si>
  <si>
    <t>CUST-1076</t>
  </si>
  <si>
    <t>ORD-0077</t>
  </si>
  <si>
    <t>CUST-1165</t>
  </si>
  <si>
    <t>ORD-0078</t>
  </si>
  <si>
    <t>CUST-1166</t>
  </si>
  <si>
    <t>ORD-0079</t>
  </si>
  <si>
    <t>CUST-1200</t>
  </si>
  <si>
    <t>ORD-0080</t>
  </si>
  <si>
    <t>CUST-1155</t>
  </si>
  <si>
    <t>ORD-0081</t>
  </si>
  <si>
    <t>CUST-1180</t>
  </si>
  <si>
    <t>ORD-0082</t>
  </si>
  <si>
    <t>ORD-0083</t>
  </si>
  <si>
    <t>CUST-1141</t>
  </si>
  <si>
    <t>ORD-0084</t>
  </si>
  <si>
    <t>ORD-0085</t>
  </si>
  <si>
    <t>ORD-0086</t>
  </si>
  <si>
    <t>ORD-0087</t>
  </si>
  <si>
    <t>CUST-1091</t>
  </si>
  <si>
    <t>ORD-0088</t>
  </si>
  <si>
    <t>CUST-1029</t>
  </si>
  <si>
    <t>ORD-0089</t>
  </si>
  <si>
    <t>CUST-1063</t>
  </si>
  <si>
    <t>Moisturizer</t>
  </si>
  <si>
    <t>ORD-0090</t>
  </si>
  <si>
    <t>ORD-0091</t>
  </si>
  <si>
    <t>CUST-1129</t>
  </si>
  <si>
    <t>ORD-0092</t>
  </si>
  <si>
    <t>CUST-1135</t>
  </si>
  <si>
    <t>ORD-0093</t>
  </si>
  <si>
    <t>CUST-1097</t>
  </si>
  <si>
    <t>ORD-0094</t>
  </si>
  <si>
    <t>CUST-1007</t>
  </si>
  <si>
    <t>ORD-0095</t>
  </si>
  <si>
    <t>CUST-1148</t>
  </si>
  <si>
    <t>ORD-0096</t>
  </si>
  <si>
    <t>CUST-1053</t>
  </si>
  <si>
    <t>ORD-0097</t>
  </si>
  <si>
    <t>ORD-0098</t>
  </si>
  <si>
    <t>ORD-0099</t>
  </si>
  <si>
    <t>ORD-0100</t>
  </si>
  <si>
    <t>ORD-0101</t>
  </si>
  <si>
    <t>ORD-0102</t>
  </si>
  <si>
    <t>CUST-1055</t>
  </si>
  <si>
    <t>ORD-0103</t>
  </si>
  <si>
    <t>ORD-0104</t>
  </si>
  <si>
    <t>CUST-1108</t>
  </si>
  <si>
    <t>ORD-0105</t>
  </si>
  <si>
    <t>CUST-1057</t>
  </si>
  <si>
    <t>ORD-0106</t>
  </si>
  <si>
    <t>CUST-1089</t>
  </si>
  <si>
    <t>ORD-0107</t>
  </si>
  <si>
    <t>ORD-0108</t>
  </si>
  <si>
    <t>CUST-1146</t>
  </si>
  <si>
    <t>ORD-0109</t>
  </si>
  <si>
    <t>CUST-1039</t>
  </si>
  <si>
    <t>Cookware Set</t>
  </si>
  <si>
    <t>ORD-0110</t>
  </si>
  <si>
    <t>CUST-1170</t>
  </si>
  <si>
    <t>ORD-0111</t>
  </si>
  <si>
    <t>CUST-1062</t>
  </si>
  <si>
    <t>ORD-0112</t>
  </si>
  <si>
    <t>ORD-0113</t>
  </si>
  <si>
    <t>ORD-0114</t>
  </si>
  <si>
    <t>CUST-1199</t>
  </si>
  <si>
    <t>ORD-0115</t>
  </si>
  <si>
    <t>ORD-0116</t>
  </si>
  <si>
    <t>CUST-1061</t>
  </si>
  <si>
    <t>ORD-0117</t>
  </si>
  <si>
    <t>ORD-0118</t>
  </si>
  <si>
    <t>CUST-1040</t>
  </si>
  <si>
    <t>ORD-0119</t>
  </si>
  <si>
    <t>CUST-1198</t>
  </si>
  <si>
    <t>ORD-0120</t>
  </si>
  <si>
    <t>ORD-0121</t>
  </si>
  <si>
    <t>ORD-0122</t>
  </si>
  <si>
    <t>CUST-1031</t>
  </si>
  <si>
    <t>ORD-0123</t>
  </si>
  <si>
    <t>CUST-1012</t>
  </si>
  <si>
    <t>ORD-0124</t>
  </si>
  <si>
    <t>CUST-1070</t>
  </si>
  <si>
    <t>ORD-0125</t>
  </si>
  <si>
    <t>CUST-1068</t>
  </si>
  <si>
    <t>ORD-0126</t>
  </si>
  <si>
    <t>ORD-0127</t>
  </si>
  <si>
    <t>CUST-1174</t>
  </si>
  <si>
    <t>ORD-0128</t>
  </si>
  <si>
    <t>CUST-1175</t>
  </si>
  <si>
    <t>ORD-0129</t>
  </si>
  <si>
    <t>ORD-0130</t>
  </si>
  <si>
    <t>CUST-1024</t>
  </si>
  <si>
    <t>ORD-0131</t>
  </si>
  <si>
    <t>ORD-0132</t>
  </si>
  <si>
    <t>ORD-0133</t>
  </si>
  <si>
    <t>CUST-1072</t>
  </si>
  <si>
    <t>ORD-0134</t>
  </si>
  <si>
    <t>CUST-1102</t>
  </si>
  <si>
    <t>ORD-0135</t>
  </si>
  <si>
    <t>ORD-0136</t>
  </si>
  <si>
    <t>ORD-0137</t>
  </si>
  <si>
    <t>CUST-1008</t>
  </si>
  <si>
    <t>ORD-0138</t>
  </si>
  <si>
    <t>ORD-0139</t>
  </si>
  <si>
    <t>ORD-0140</t>
  </si>
  <si>
    <t>CUST-1150</t>
  </si>
  <si>
    <t>ORD-0141</t>
  </si>
  <si>
    <t>CUST-1159</t>
  </si>
  <si>
    <t>ORD-0142</t>
  </si>
  <si>
    <t>ORD-0143</t>
  </si>
  <si>
    <t>ORD-0144</t>
  </si>
  <si>
    <t>CUST-1069</t>
  </si>
  <si>
    <t>ORD-0145</t>
  </si>
  <si>
    <t>CUST-1066</t>
  </si>
  <si>
    <t>ORD-0146</t>
  </si>
  <si>
    <t>ORD-0147</t>
  </si>
  <si>
    <t>ORD-0148</t>
  </si>
  <si>
    <t>CUST-1078</t>
  </si>
  <si>
    <t>ORD-0149</t>
  </si>
  <si>
    <t>CUST-1179</t>
  </si>
  <si>
    <t>ORD-0150</t>
  </si>
  <si>
    <t>ORD-0151</t>
  </si>
  <si>
    <t>CUST-1124</t>
  </si>
  <si>
    <t>ORD-0152</t>
  </si>
  <si>
    <t>CUST-1158</t>
  </si>
  <si>
    <t>ORD-0153</t>
  </si>
  <si>
    <t>CUST-1048</t>
  </si>
  <si>
    <t>ORD-0154</t>
  </si>
  <si>
    <t>CUST-1073</t>
  </si>
  <si>
    <t>ORD-0155</t>
  </si>
  <si>
    <t>ORD-0156</t>
  </si>
  <si>
    <t>ORD-0157</t>
  </si>
  <si>
    <t>CUST-1099</t>
  </si>
  <si>
    <t>ORD-0158</t>
  </si>
  <si>
    <t>ORD-0159</t>
  </si>
  <si>
    <t>ORD-0160</t>
  </si>
  <si>
    <t>ORD-0161</t>
  </si>
  <si>
    <t>ORD-0162</t>
  </si>
  <si>
    <t>ORD-0163</t>
  </si>
  <si>
    <t>CUST-1009</t>
  </si>
  <si>
    <t>ORD-0164</t>
  </si>
  <si>
    <t>CUST-1050</t>
  </si>
  <si>
    <t>ORD-0165</t>
  </si>
  <si>
    <t>ORD-0166</t>
  </si>
  <si>
    <t>ORD-0167</t>
  </si>
  <si>
    <t>ORD-0168</t>
  </si>
  <si>
    <t>ORD-0169</t>
  </si>
  <si>
    <t>CUST-1160</t>
  </si>
  <si>
    <t>ORD-0170</t>
  </si>
  <si>
    <t>CUST-1035</t>
  </si>
  <si>
    <t>ORD-0171</t>
  </si>
  <si>
    <t>ORD-0172</t>
  </si>
  <si>
    <t>ORD-0173</t>
  </si>
  <si>
    <t>ORD-0174</t>
  </si>
  <si>
    <t>ORD-0175</t>
  </si>
  <si>
    <t>ORD-0176</t>
  </si>
  <si>
    <t>ORD-0177</t>
  </si>
  <si>
    <t>CUST-1054</t>
  </si>
  <si>
    <t>ORD-0178</t>
  </si>
  <si>
    <t>ORD-0179</t>
  </si>
  <si>
    <t>ORD-0180</t>
  </si>
  <si>
    <t>CUST-1005</t>
  </si>
  <si>
    <t>ORD-0181</t>
  </si>
  <si>
    <t>CUST-1149</t>
  </si>
  <si>
    <t>ORD-0182</t>
  </si>
  <si>
    <t>CUST-1103</t>
  </si>
  <si>
    <t>ORD-0183</t>
  </si>
  <si>
    <t>ORD-0184</t>
  </si>
  <si>
    <t>CUST-1138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</si>
  <si>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</si>
  <si>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</si>
  <si>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</si>
  <si>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</si>
  <si>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</si>
  <si>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</si>
  <si>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</si>
  <si>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</si>
  <si>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</si>
  <si>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CUST-1168</t>
  </si>
  <si>
    <t>ORD-0194</t>
  </si>
  <si>
    <t>CUST-1032</t>
  </si>
  <si>
    <t>ORD-0195</t>
  </si>
  <si>
    <t>ORD-0196</t>
  </si>
  <si>
    <t>ORD-0197</t>
  </si>
  <si>
    <t>ORD-0198</t>
  </si>
  <si>
    <t>CUST-1144</t>
  </si>
  <si>
    <t>ORD-0199</t>
  </si>
  <si>
    <t>ORD-0200</t>
  </si>
  <si>
    <t>CUST-1014</t>
  </si>
  <si>
    <t>ORD-0201</t>
  </si>
  <si>
    <t>CUST-1132</t>
  </si>
  <si>
    <t>ORD-0202</t>
  </si>
  <si>
    <t>ORD-0203</t>
  </si>
  <si>
    <t>ORD-0204</t>
  </si>
  <si>
    <t>ORD-0205</t>
  </si>
  <si>
    <t>ORD-0206</t>
  </si>
  <si>
    <t>ORD-0207</t>
  </si>
  <si>
    <t>CUST-1109</t>
  </si>
  <si>
    <t>ORD-0208</t>
  </si>
  <si>
    <t>CUST-1192</t>
  </si>
  <si>
    <t>ORD-0209</t>
  </si>
  <si>
    <t>CUST-1182</t>
  </si>
  <si>
    <t>ORD-0210</t>
  </si>
  <si>
    <t>ORD-0211</t>
  </si>
  <si>
    <t>CUST-1045</t>
  </si>
  <si>
    <t>ORD-0212</t>
  </si>
  <si>
    <t>ORD-0213</t>
  </si>
  <si>
    <t>CUST-1087</t>
  </si>
  <si>
    <t>ORD-0214</t>
  </si>
  <si>
    <t>ORD-0215</t>
  </si>
  <si>
    <t>CUST-1169</t>
  </si>
  <si>
    <t>ORD-0216</t>
  </si>
  <si>
    <t>ORD-0217</t>
  </si>
  <si>
    <t>ORD-0218</t>
  </si>
  <si>
    <t>ORD-0219</t>
  </si>
  <si>
    <t>CUST-1006</t>
  </si>
  <si>
    <t>ORD-0220</t>
  </si>
  <si>
    <t>CUST-1041</t>
  </si>
  <si>
    <t>ORD-0221</t>
  </si>
  <si>
    <t>CUST-1130</t>
  </si>
  <si>
    <t>ORD-0222</t>
  </si>
  <si>
    <t>CUST-1176</t>
  </si>
  <si>
    <t>ORD-0223</t>
  </si>
  <si>
    <t>CUST-1119</t>
  </si>
  <si>
    <t>ORD-0224</t>
  </si>
  <si>
    <t>CUST-1196</t>
  </si>
  <si>
    <t>ORD-0225</t>
  </si>
  <si>
    <t>ORD-0226</t>
  </si>
  <si>
    <t>ORD-0227</t>
  </si>
  <si>
    <t>CUST-1163</t>
  </si>
  <si>
    <t>ORD-0228</t>
  </si>
  <si>
    <t>CUST-1004</t>
  </si>
  <si>
    <t>ORD-0229</t>
  </si>
  <si>
    <t>CUST-1077</t>
  </si>
  <si>
    <t>ORD-0230</t>
  </si>
  <si>
    <t>ORD-0231</t>
  </si>
  <si>
    <t>ORD-0232</t>
  </si>
  <si>
    <t>ORD-0233</t>
  </si>
  <si>
    <t>CUST-1187</t>
  </si>
  <si>
    <t>ORD-0234</t>
  </si>
  <si>
    <t>ORD-0235</t>
  </si>
  <si>
    <t>CUST-1189</t>
  </si>
  <si>
    <t>ORD-0236</t>
  </si>
  <si>
    <t>CUST-1026</t>
  </si>
  <si>
    <t>ORD-0237</t>
  </si>
  <si>
    <t>ORD-0238</t>
  </si>
  <si>
    <t>CUST-1145</t>
  </si>
  <si>
    <t>ORD-0239</t>
  </si>
  <si>
    <t>ORD-0240</t>
  </si>
  <si>
    <t>ORD-0241</t>
  </si>
  <si>
    <t>ORD-0242</t>
  </si>
  <si>
    <t>ORD-0243</t>
  </si>
  <si>
    <t>ORD-0244</t>
  </si>
  <si>
    <t>ORD-0245</t>
  </si>
  <si>
    <t>CUST-1167</t>
  </si>
  <si>
    <t>ORD-0246</t>
  </si>
  <si>
    <t>ORD-0247</t>
  </si>
  <si>
    <t>ORD-0248</t>
  </si>
  <si>
    <t>ORD-0249</t>
  </si>
  <si>
    <t>CUST-1156</t>
  </si>
  <si>
    <t>ORD-0250</t>
  </si>
  <si>
    <t>ORD-0251</t>
  </si>
  <si>
    <t>CUST-1171</t>
  </si>
  <si>
    <t>ORD-0252</t>
  </si>
  <si>
    <t>ORD-0253</t>
  </si>
  <si>
    <t>CUST-1051</t>
  </si>
  <si>
    <t>ORD-0254</t>
  </si>
  <si>
    <t>ORD-0255</t>
  </si>
  <si>
    <t>ORD-0256</t>
  </si>
  <si>
    <t>ORD-0257</t>
  </si>
  <si>
    <t>ORD-0258</t>
  </si>
  <si>
    <t>CUST-1101</t>
  </si>
  <si>
    <t>ORD-0259</t>
  </si>
  <si>
    <t>ORD-0260</t>
  </si>
  <si>
    <t>ORD-0261</t>
  </si>
  <si>
    <t>ORD-0262</t>
  </si>
  <si>
    <t>ORD-0263</t>
  </si>
  <si>
    <t>ORD-0264</t>
  </si>
  <si>
    <t>CUST-1019</t>
  </si>
  <si>
    <t>ORD-0265</t>
  </si>
  <si>
    <t>ORD-0266</t>
  </si>
  <si>
    <t>ORD-0267</t>
  </si>
  <si>
    <t>ORD-0268</t>
  </si>
  <si>
    <t>CUST-1118</t>
  </si>
  <si>
    <t>ORD-0269</t>
  </si>
  <si>
    <t>ORD-0270</t>
  </si>
  <si>
    <t>CUST-1152</t>
  </si>
  <si>
    <t>ORD-0271</t>
  </si>
  <si>
    <t>ORD-0272</t>
  </si>
  <si>
    <t>ORD-0273</t>
  </si>
  <si>
    <t>ORD-0274</t>
  </si>
  <si>
    <t>ORD-0275</t>
  </si>
  <si>
    <t>CUST-1017</t>
  </si>
  <si>
    <t>ORD-0276</t>
  </si>
  <si>
    <t>ORD-0277</t>
  </si>
  <si>
    <t>ORD-0278</t>
  </si>
  <si>
    <t>CUST-1137</t>
  </si>
  <si>
    <t>ORD-0279</t>
  </si>
  <si>
    <t>ORD-0280</t>
  </si>
  <si>
    <t>ORD-0281</t>
  </si>
  <si>
    <t>ORD-0282</t>
  </si>
  <si>
    <t>ORD-0283</t>
  </si>
  <si>
    <t>ORD-0284</t>
  </si>
  <si>
    <t>CUST-1059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</si>
  <si>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</si>
  <si>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</si>
  <si>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</si>
  <si>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</si>
  <si>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</si>
  <si>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</si>
  <si>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</si>
  <si>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</si>
  <si>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</si>
  <si>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</si>
  <si>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</si>
  <si>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</si>
  <si>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</si>
  <si>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</si>
  <si>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</si>
  <si>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</si>
  <si>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</si>
  <si>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</si>
  <si>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</si>
  <si>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</si>
  <si>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</si>
  <si>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</si>
  <si>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</si>
  <si>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</si>
  <si>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CUST-1151</t>
  </si>
  <si>
    <t>ORD-0309</t>
  </si>
  <si>
    <t>CUST-1003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</si>
  <si>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</si>
  <si>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</si>
  <si>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</si>
  <si>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</si>
  <si>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</si>
  <si>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</si>
  <si>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</si>
  <si>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</si>
  <si>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</si>
  <si>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</si>
  <si>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CUST-1020</t>
  </si>
  <si>
    <t>ORD-0320</t>
  </si>
  <si>
    <t>ORD-0321</t>
  </si>
  <si>
    <t>CUST-1079</t>
  </si>
  <si>
    <t>ORD-0322</t>
  </si>
  <si>
    <t>ORD-0323</t>
  </si>
  <si>
    <t>ORD-0324</t>
  </si>
  <si>
    <t>ORD-0325</t>
  </si>
  <si>
    <t>ORD-0326</t>
  </si>
  <si>
    <t>CUST-1082</t>
  </si>
  <si>
    <t>ORD-0327</t>
  </si>
  <si>
    <t>ORD-0328</t>
  </si>
  <si>
    <t>ORD-0329</t>
  </si>
  <si>
    <t>ORD-0330</t>
  </si>
  <si>
    <t>ORD-0331</t>
  </si>
  <si>
    <t>ORD-0332</t>
  </si>
  <si>
    <t>CUST-1023</t>
  </si>
  <si>
    <t>ORD-0333</t>
  </si>
  <si>
    <t>CUST-1106</t>
  </si>
  <si>
    <t>ORD-0334</t>
  </si>
  <si>
    <t>ORD-0335</t>
  </si>
  <si>
    <t>ORD-0336</t>
  </si>
  <si>
    <t>ORD-0337</t>
  </si>
  <si>
    <t>ORD-0338</t>
  </si>
  <si>
    <t>ORD-0339</t>
  </si>
  <si>
    <t>CUST-1071</t>
  </si>
  <si>
    <t>ORD-0340</t>
  </si>
  <si>
    <t>CUST-1025</t>
  </si>
  <si>
    <t>ORD-0341</t>
  </si>
  <si>
    <t>CUST-1093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</si>
  <si>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</si>
  <si>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</si>
  <si>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</si>
  <si>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</si>
  <si>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</si>
  <si>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</si>
  <si>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</si>
  <si>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</si>
  <si>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CUST-1094</t>
  </si>
  <si>
    <t>ORD-0350</t>
  </si>
  <si>
    <t>ORD-0351</t>
  </si>
  <si>
    <t>ORD-0352</t>
  </si>
  <si>
    <t>ORD-0353</t>
  </si>
  <si>
    <t>CUST-1120</t>
  </si>
  <si>
    <t>ORD-0354</t>
  </si>
  <si>
    <t>ORD-0355</t>
  </si>
  <si>
    <t>CUST-1195</t>
  </si>
  <si>
    <t>ORD-0356</t>
  </si>
  <si>
    <t>ORD-0357</t>
  </si>
  <si>
    <t>CUST-1125</t>
  </si>
  <si>
    <t>ORD-0358</t>
  </si>
  <si>
    <t>ORD-0359</t>
  </si>
  <si>
    <t>ORD-0360</t>
  </si>
  <si>
    <t>ORD-0361</t>
  </si>
  <si>
    <t>ORD-0362</t>
  </si>
  <si>
    <t>ORD-0363</t>
  </si>
  <si>
    <t>CUST-1037</t>
  </si>
  <si>
    <t>ORD-0364</t>
  </si>
  <si>
    <t>ORD-0365</t>
  </si>
  <si>
    <t>CUST-1088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</si>
  <si>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</si>
  <si>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</si>
  <si>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</si>
  <si>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</si>
  <si>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</si>
  <si>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</si>
  <si>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</si>
  <si>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</si>
  <si>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</si>
  <si>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</si>
  <si>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</si>
  <si>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</si>
  <si>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</si>
  <si>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</si>
  <si>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</si>
  <si>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</si>
  <si>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</si>
  <si>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</si>
  <si>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</si>
  <si>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</si>
  <si>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</si>
  <si>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CUST-1105</t>
  </si>
  <si>
    <t>ORD-0387</t>
  </si>
  <si>
    <t>ORD-0388</t>
  </si>
  <si>
    <t>CUST-1034</t>
  </si>
  <si>
    <t>ORD-0389</t>
  </si>
  <si>
    <t>ORD-0390</t>
  </si>
  <si>
    <t>ORD-0391</t>
  </si>
  <si>
    <t>CUST-1116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</si>
  <si>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</si>
  <si>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</si>
  <si>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</si>
  <si>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</si>
  <si>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</si>
  <si>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</si>
  <si>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</si>
  <si>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</si>
  <si>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</si>
  <si>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</si>
  <si>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</si>
  <si>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</si>
  <si>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</si>
  <si>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</si>
  <si>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</si>
  <si>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</si>
  <si>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</si>
  <si>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CUST-1030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</si>
  <si>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</si>
  <si>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</si>
  <si>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</si>
  <si>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</si>
  <si>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</si>
  <si>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</si>
  <si>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</si>
  <si>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</si>
  <si>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</si>
  <si>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</si>
  <si>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</si>
  <si>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CUST-1095</t>
  </si>
  <si>
    <t>ORD-0420</t>
  </si>
  <si>
    <t>ORD-0421</t>
  </si>
  <si>
    <t>ORD-0422</t>
  </si>
  <si>
    <t>ORD-0423</t>
  </si>
  <si>
    <t>ORD-0424</t>
  </si>
  <si>
    <t>CUST-1107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</si>
  <si>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</si>
  <si>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</si>
  <si>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</si>
  <si>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</si>
  <si>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</si>
  <si>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</si>
  <si>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</si>
  <si>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</si>
  <si>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</si>
  <si>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CUST-1127</t>
  </si>
  <si>
    <t>ORD-0434</t>
  </si>
  <si>
    <t>ORD-0435</t>
  </si>
  <si>
    <t>ORD-0436</t>
  </si>
  <si>
    <t>ORD-0437</t>
  </si>
  <si>
    <t>CUST-1183</t>
  </si>
  <si>
    <t>ORD-0438</t>
  </si>
  <si>
    <t>ORD-0439</t>
  </si>
  <si>
    <t>ORD-0440</t>
  </si>
  <si>
    <t>ORD-0441</t>
  </si>
  <si>
    <t>CUST-1153</t>
  </si>
  <si>
    <t>ORD-0442</t>
  </si>
  <si>
    <t>ORD-0443</t>
  </si>
  <si>
    <t>ORD-0444</t>
  </si>
  <si>
    <t>ORD-0445</t>
  </si>
  <si>
    <t>ORD-0446</t>
  </si>
  <si>
    <t>CUST-1016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</si>
  <si>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</si>
  <si>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</si>
  <si>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</si>
  <si>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</si>
  <si>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</si>
  <si>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</si>
  <si>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</si>
  <si>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</si>
  <si>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</si>
  <si>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</si>
  <si>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</si>
  <si>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</si>
  <si>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</si>
  <si>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</si>
  <si>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</si>
  <si>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CUST-1147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</si>
  <si>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</si>
  <si>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</si>
  <si>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</si>
  <si>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</si>
  <si>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</si>
  <si>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</si>
  <si>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</si>
  <si>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</si>
  <si>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</si>
  <si>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</si>
  <si>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</si>
  <si>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</si>
  <si>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CUST-1052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</si>
  <si>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</si>
  <si>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</si>
  <si>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</si>
  <si>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</si>
  <si>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</si>
  <si>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</si>
  <si>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</si>
  <si>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</si>
  <si>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</si>
  <si>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</si>
  <si>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</si>
  <si>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</si>
  <si>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</si>
  <si>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</si>
  <si>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</si>
  <si>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CUST-1038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</si>
  <si>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</si>
  <si>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</si>
  <si>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</si>
  <si>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</si>
  <si>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</si>
  <si>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</si>
  <si>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</si>
  <si>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</si>
  <si>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</si>
  <si>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</si>
  <si>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CUST-1193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</si>
  <si>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</si>
  <si>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</si>
  <si>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</si>
  <si>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</si>
  <si>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</si>
  <si>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</si>
  <si>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</si>
  <si>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</si>
  <si>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</si>
  <si>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</si>
  <si>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</si>
  <si>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</si>
  <si>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</si>
  <si>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</si>
  <si>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</si>
  <si>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</si>
  <si>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</si>
  <si>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</si>
  <si>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</si>
  <si>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</si>
  <si>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</si>
  <si>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</si>
  <si>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CUST-1011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</si>
  <si>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</si>
  <si>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</si>
  <si>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</si>
  <si>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</si>
  <si>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</si>
  <si>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</si>
  <si>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</si>
  <si>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</si>
  <si>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</si>
  <si>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</si>
  <si>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</si>
  <si>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</si>
  <si>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</si>
  <si>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</si>
  <si>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</si>
  <si>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</si>
  <si>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</si>
  <si>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</si>
  <si>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</si>
  <si>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</si>
  <si>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CUST-1080</t>
  </si>
  <si>
    <t>ORD-0541</t>
  </si>
  <si>
    <t>ORD-0542</t>
  </si>
  <si>
    <t>CUST-1001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</si>
  <si>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</si>
  <si>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</si>
  <si>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</si>
  <si>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</si>
  <si>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</si>
  <si>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</si>
  <si>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</si>
  <si>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</si>
  <si>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</si>
  <si>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</si>
  <si>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</si>
  <si>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</si>
  <si>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</si>
  <si>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</si>
  <si>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</si>
  <si>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</si>
  <si>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</si>
  <si>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CUST-1018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</si>
  <si>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</si>
  <si>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</si>
  <si>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</si>
  <si>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</si>
  <si>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</si>
  <si>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</si>
  <si>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</si>
  <si>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</si>
  <si>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</si>
  <si>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</si>
  <si>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</si>
  <si>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</si>
  <si>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</si>
  <si>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</si>
  <si>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CUST-1064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</si>
  <si>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</si>
  <si>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</si>
  <si>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</si>
  <si>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</si>
  <si>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</si>
  <si>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</si>
  <si>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</si>
  <si>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</si>
  <si>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</si>
  <si>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</si>
  <si>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</si>
  <si>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</si>
  <si>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</si>
  <si>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</si>
  <si>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</si>
  <si>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</si>
  <si>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</si>
  <si>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</si>
  <si>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</si>
  <si>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</si>
  <si>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</si>
  <si>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</si>
  <si>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</si>
  <si>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</si>
  <si>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</si>
  <si>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</si>
  <si>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</si>
  <si>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</si>
  <si>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</si>
  <si>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</si>
  <si>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</si>
  <si>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</si>
  <si>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</si>
  <si>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</si>
  <si>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</si>
  <si>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</si>
  <si>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</si>
  <si>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</si>
  <si>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</si>
  <si>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</si>
  <si>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</si>
  <si>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</si>
  <si>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CUST-1139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</si>
  <si>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</si>
  <si>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</si>
  <si>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</si>
  <si>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</si>
  <si>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</si>
  <si>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</si>
  <si>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</si>
  <si>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</si>
  <si>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</si>
  <si>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</si>
  <si>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</si>
  <si>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</si>
  <si>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</si>
  <si>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</si>
  <si>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</si>
  <si>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</si>
  <si>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</si>
  <si>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</si>
  <si>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</si>
  <si>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</si>
  <si>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</si>
  <si>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</si>
  <si>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</si>
  <si>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</si>
  <si>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</si>
  <si>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</si>
  <si>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</si>
  <si>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</si>
  <si>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</si>
  <si>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</si>
  <si>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</si>
  <si>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</si>
  <si>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</si>
  <si>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</si>
  <si>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CUST-1123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</si>
  <si>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</si>
  <si>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</si>
  <si>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</si>
  <si>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</si>
  <si>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</si>
  <si>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</si>
  <si>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</si>
  <si>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</si>
  <si>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</si>
  <si>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</si>
  <si>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</si>
  <si>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</si>
  <si>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</si>
  <si>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</si>
  <si>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</si>
  <si>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</si>
  <si>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</si>
  <si>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</si>
  <si>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</si>
  <si>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</si>
  <si>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</si>
  <si>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</si>
  <si>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</si>
  <si>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</si>
  <si>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</si>
  <si>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</si>
  <si>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</si>
  <si>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</si>
  <si>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</si>
  <si>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</si>
  <si>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</si>
  <si>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</si>
  <si>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</si>
  <si>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</si>
  <si>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</si>
  <si>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</si>
  <si>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</si>
  <si>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</si>
  <si>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</si>
  <si>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CUST-1133</t>
  </si>
  <si>
    <t>ORD-0689</t>
  </si>
  <si>
    <t>ORD-0690</t>
  </si>
  <si>
    <t>ORD-0691</t>
  </si>
  <si>
    <t>ORD-0692</t>
  </si>
  <si>
    <t>CUST-1056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</si>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</sst>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4"/>
  <sheetViews>
    <sheetView tabSelected="1" workbookViewId="0">
      <pane ySplit="1" topLeftCell="F694" activePane="bottomLeft" state="frozen"/>
      <selection pane="bottomLeft" activeCell="P699" sqref="P699"/>
    </sheetView>
  </sheetViews>
  <sheetFormatPr defaultRowHeight="15"/>
  <cols>
    <col min="1" max="1" width="13" customWidth="1"/>
    <col min="2" max="3" width="14" customWidth="1"/>
    <col min="4" max="4" width="22" customWidth="1"/>
    <col min="5" max="5" width="18" customWidth="1"/>
    <col min="6" max="6" width="16" customWidth="1"/>
    <col min="7" max="7" width="10" style="10" customWidth="1"/>
    <col min="8" max="8" width="14" customWidth="1"/>
    <col min="9" max="9" width="12" style="6" customWidth="1"/>
    <col min="10" max="10" width="14" style="8" customWidth="1"/>
    <col min="11" max="11" width="18" style="4" customWidth="1"/>
    <col min="12" max="13" width="16" customWidth="1"/>
    <col min="14" max="14" width="12.28515625" style="6" customWidth="1"/>
    <col min="15" max="15" width="12.1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" t="s">
        <v>7</v>
      </c>
      <c r="I1" s="5" t="s">
        <v>8</v>
      </c>
      <c r="J1" s="7" t="s">
        <v>9</v>
      </c>
      <c r="K1" s="3" t="s">
        <v>10</v>
      </c>
      <c r="L1" s="1" t="s">
        <v>11</v>
      </c>
      <c r="M1" t="s">
        <v>12</v>
      </c>
      <c r="N1" s="6" t="s">
        <v>13</v>
      </c>
      <c r="O1" t="s">
        <v>14</v>
      </c>
    </row>
    <row r="2" spans="1:16">
      <c r="A2" t="s">
        <v>15</v>
      </c>
      <c r="B2" s="2">
        <v>45764</v>
      </c>
      <c r="C2" t="s">
        <v>16</v>
      </c>
      <c r="D2" t="s">
        <v>17</v>
      </c>
      <c r="E2" t="s">
        <v>18</v>
      </c>
      <c r="F2" t="s">
        <v>19</v>
      </c>
      <c r="G2" s="10">
        <v>5</v>
      </c>
      <c r="H2">
        <v>11723.15</v>
      </c>
      <c r="I2" s="6">
        <v>0.05</v>
      </c>
      <c r="J2" s="8">
        <v>1312.94</v>
      </c>
      <c r="K2" s="4" t="s">
        <v>20</v>
      </c>
      <c r="L2" t="s">
        <v>21</v>
      </c>
      <c r="M2">
        <f>H2*I2</f>
        <v>586.15750000000003</v>
      </c>
      <c r="N2" s="6">
        <f>IFERROR(J2/H2,0)</f>
        <v>0.11199549609106768</v>
      </c>
      <c r="O2" s="6" t="str">
        <f>TEXT(B2,"mmm")</f>
        <v>Apr</v>
      </c>
      <c r="P2" s="6"/>
    </row>
    <row r="3" spans="1:16">
      <c r="A3" t="s">
        <v>22</v>
      </c>
      <c r="B3" s="2">
        <v>46001</v>
      </c>
      <c r="C3" t="s">
        <v>23</v>
      </c>
      <c r="D3" t="s">
        <v>24</v>
      </c>
      <c r="E3" t="s">
        <v>25</v>
      </c>
      <c r="F3" t="s">
        <v>26</v>
      </c>
      <c r="G3" s="10">
        <v>4</v>
      </c>
      <c r="H3">
        <v>17902.55</v>
      </c>
      <c r="I3" s="6">
        <v>0.05</v>
      </c>
      <c r="J3" s="8">
        <v>2017</v>
      </c>
      <c r="K3" s="4" t="s">
        <v>27</v>
      </c>
      <c r="L3" t="s">
        <v>21</v>
      </c>
      <c r="M3">
        <f t="shared" ref="M3:M66" si="0">H3*I3</f>
        <v>895.12750000000005</v>
      </c>
      <c r="N3" s="6">
        <f t="shared" ref="N3:N66" si="1">IFERROR(J3/H3,0)</f>
        <v>0.11266551413066854</v>
      </c>
      <c r="O3" s="6" t="str">
        <f t="shared" ref="O3:O66" si="2">TEXT(B3,"mmm")</f>
        <v>Dec</v>
      </c>
    </row>
    <row r="4" spans="1:16">
      <c r="A4" t="s">
        <v>28</v>
      </c>
      <c r="B4" s="2">
        <v>45716</v>
      </c>
      <c r="C4" t="s">
        <v>29</v>
      </c>
      <c r="D4" t="s">
        <v>30</v>
      </c>
      <c r="E4" t="s">
        <v>18</v>
      </c>
      <c r="F4" t="s">
        <v>31</v>
      </c>
      <c r="G4" s="10">
        <v>2</v>
      </c>
      <c r="H4">
        <v>641.46</v>
      </c>
      <c r="I4" s="6">
        <v>0.15</v>
      </c>
      <c r="J4" s="8">
        <v>91.32</v>
      </c>
      <c r="K4" s="4" t="s">
        <v>32</v>
      </c>
      <c r="L4" t="s">
        <v>21</v>
      </c>
      <c r="M4">
        <f t="shared" si="0"/>
        <v>96.219000000000008</v>
      </c>
      <c r="N4" s="6">
        <f t="shared" si="1"/>
        <v>0.14236273501075669</v>
      </c>
      <c r="O4" s="6" t="str">
        <f t="shared" si="2"/>
        <v>Feb</v>
      </c>
    </row>
    <row r="5" spans="1:16">
      <c r="A5" t="s">
        <v>33</v>
      </c>
      <c r="B5" s="2">
        <v>45964</v>
      </c>
      <c r="C5" t="s">
        <v>34</v>
      </c>
      <c r="D5" t="s">
        <v>30</v>
      </c>
      <c r="E5" t="s">
        <v>18</v>
      </c>
      <c r="F5" t="s">
        <v>35</v>
      </c>
      <c r="G5" s="10">
        <v>5</v>
      </c>
      <c r="H5">
        <v>9081.51</v>
      </c>
      <c r="I5" s="6">
        <v>0.05</v>
      </c>
      <c r="J5" s="8">
        <v>2271.5500000000002</v>
      </c>
      <c r="K5" s="4" t="s">
        <v>27</v>
      </c>
      <c r="L5" t="s">
        <v>36</v>
      </c>
      <c r="M5">
        <f t="shared" si="0"/>
        <v>454.07550000000003</v>
      </c>
      <c r="N5" s="6">
        <f t="shared" si="1"/>
        <v>0.25012910848526293</v>
      </c>
      <c r="O5" s="6" t="str">
        <f t="shared" si="2"/>
        <v>Nov</v>
      </c>
    </row>
    <row r="6" spans="1:16">
      <c r="A6" t="s">
        <v>37</v>
      </c>
      <c r="B6" s="2">
        <v>45749</v>
      </c>
      <c r="C6" t="s">
        <v>38</v>
      </c>
      <c r="D6" t="s">
        <v>39</v>
      </c>
      <c r="E6" t="s">
        <v>40</v>
      </c>
      <c r="F6" t="s">
        <v>41</v>
      </c>
      <c r="G6" s="10">
        <v>4</v>
      </c>
      <c r="H6">
        <v>1678.68</v>
      </c>
      <c r="I6" s="6">
        <v>0.2</v>
      </c>
      <c r="J6" s="8">
        <v>430.36</v>
      </c>
      <c r="K6" s="4" t="s">
        <v>42</v>
      </c>
      <c r="L6" t="s">
        <v>36</v>
      </c>
      <c r="M6">
        <f t="shared" si="0"/>
        <v>335.73600000000005</v>
      </c>
      <c r="N6" s="6">
        <f t="shared" si="1"/>
        <v>0.25636809874425143</v>
      </c>
      <c r="O6" s="6" t="str">
        <f t="shared" si="2"/>
        <v>Apr</v>
      </c>
    </row>
    <row r="7" spans="1:16">
      <c r="A7" t="s">
        <v>43</v>
      </c>
      <c r="B7" s="2">
        <v>45711</v>
      </c>
      <c r="C7" t="s">
        <v>44</v>
      </c>
      <c r="D7" t="s">
        <v>45</v>
      </c>
      <c r="E7" t="s">
        <v>18</v>
      </c>
      <c r="F7" t="s">
        <v>35</v>
      </c>
      <c r="G7" s="10">
        <v>2</v>
      </c>
      <c r="H7">
        <v>3771.62</v>
      </c>
      <c r="I7" s="6">
        <v>0.2</v>
      </c>
      <c r="J7" s="8">
        <v>989.31</v>
      </c>
      <c r="K7" s="4" t="s">
        <v>27</v>
      </c>
      <c r="L7" t="s">
        <v>21</v>
      </c>
      <c r="M7">
        <f t="shared" si="0"/>
        <v>754.32400000000007</v>
      </c>
      <c r="N7" s="6">
        <f t="shared" si="1"/>
        <v>0.26230373155301967</v>
      </c>
      <c r="O7" s="6" t="str">
        <f t="shared" si="2"/>
        <v>Feb</v>
      </c>
    </row>
    <row r="8" spans="1:16">
      <c r="A8" t="s">
        <v>46</v>
      </c>
      <c r="B8" s="2">
        <v>45953</v>
      </c>
      <c r="C8" t="s">
        <v>47</v>
      </c>
      <c r="D8" t="s">
        <v>30</v>
      </c>
      <c r="E8" t="s">
        <v>18</v>
      </c>
      <c r="F8" t="s">
        <v>41</v>
      </c>
      <c r="G8" s="10">
        <v>5</v>
      </c>
      <c r="H8">
        <v>7965.63</v>
      </c>
      <c r="I8" s="6">
        <v>0.05</v>
      </c>
      <c r="J8" s="8">
        <v>1396.07</v>
      </c>
      <c r="K8" s="4" t="s">
        <v>42</v>
      </c>
      <c r="L8" t="s">
        <v>21</v>
      </c>
      <c r="M8">
        <f t="shared" si="0"/>
        <v>398.28150000000005</v>
      </c>
      <c r="N8" s="6">
        <f t="shared" si="1"/>
        <v>0.17526171815663041</v>
      </c>
      <c r="O8" s="6" t="str">
        <f t="shared" si="2"/>
        <v>Oct</v>
      </c>
    </row>
    <row r="9" spans="1:16">
      <c r="A9" t="s">
        <v>48</v>
      </c>
      <c r="B9" s="2">
        <v>45672</v>
      </c>
      <c r="C9" t="s">
        <v>49</v>
      </c>
      <c r="D9" t="s">
        <v>50</v>
      </c>
      <c r="E9" t="s">
        <v>40</v>
      </c>
      <c r="F9" t="s">
        <v>19</v>
      </c>
      <c r="G9" s="10">
        <v>5</v>
      </c>
      <c r="H9">
        <v>2088.69</v>
      </c>
      <c r="I9" s="6">
        <v>0</v>
      </c>
      <c r="J9" s="8">
        <v>505.35</v>
      </c>
      <c r="K9" s="4" t="s">
        <v>32</v>
      </c>
      <c r="L9" t="s">
        <v>36</v>
      </c>
      <c r="M9">
        <f t="shared" si="0"/>
        <v>0</v>
      </c>
      <c r="N9" s="6">
        <f t="shared" si="1"/>
        <v>0.241945908679603</v>
      </c>
      <c r="O9" s="6" t="str">
        <f t="shared" si="2"/>
        <v>Jan</v>
      </c>
    </row>
    <row r="10" spans="1:16">
      <c r="A10" t="s">
        <v>51</v>
      </c>
      <c r="B10" s="2">
        <v>45918</v>
      </c>
      <c r="C10" t="s">
        <v>52</v>
      </c>
      <c r="D10" t="s">
        <v>53</v>
      </c>
      <c r="E10" t="s">
        <v>25</v>
      </c>
      <c r="F10" t="s">
        <v>26</v>
      </c>
      <c r="G10" s="10">
        <v>2</v>
      </c>
      <c r="H10">
        <v>3969.58</v>
      </c>
      <c r="I10" s="6">
        <v>0</v>
      </c>
      <c r="J10" s="8">
        <v>981.64</v>
      </c>
      <c r="K10" s="4" t="s">
        <v>27</v>
      </c>
      <c r="L10" t="s">
        <v>36</v>
      </c>
      <c r="M10">
        <f t="shared" si="0"/>
        <v>0</v>
      </c>
      <c r="N10" s="6">
        <f t="shared" si="1"/>
        <v>0.2472906453579472</v>
      </c>
      <c r="O10" s="6" t="str">
        <f t="shared" si="2"/>
        <v>Sep</v>
      </c>
    </row>
    <row r="11" spans="1:16">
      <c r="A11" t="s">
        <v>54</v>
      </c>
      <c r="B11" s="2">
        <v>46017</v>
      </c>
      <c r="C11" t="s">
        <v>55</v>
      </c>
      <c r="D11" t="s">
        <v>56</v>
      </c>
      <c r="E11" t="s">
        <v>40</v>
      </c>
      <c r="F11" t="s">
        <v>41</v>
      </c>
      <c r="G11" s="10">
        <v>3</v>
      </c>
      <c r="H11">
        <v>4084.55</v>
      </c>
      <c r="I11" s="6">
        <v>0.1</v>
      </c>
      <c r="J11" s="8">
        <v>317.7</v>
      </c>
      <c r="K11" s="4" t="s">
        <v>20</v>
      </c>
      <c r="L11" t="s">
        <v>21</v>
      </c>
      <c r="M11">
        <f t="shared" si="0"/>
        <v>408.45500000000004</v>
      </c>
      <c r="N11" s="6">
        <f t="shared" si="1"/>
        <v>7.7780906097366903E-2</v>
      </c>
      <c r="O11" s="6" t="str">
        <f t="shared" si="2"/>
        <v>Dec</v>
      </c>
    </row>
    <row r="12" spans="1:16">
      <c r="A12" t="s">
        <v>57</v>
      </c>
      <c r="B12" s="2">
        <v>46003</v>
      </c>
      <c r="C12" t="s">
        <v>16</v>
      </c>
      <c r="D12" t="s">
        <v>58</v>
      </c>
      <c r="E12" t="s">
        <v>25</v>
      </c>
      <c r="F12" t="s">
        <v>26</v>
      </c>
      <c r="G12" s="10">
        <v>2</v>
      </c>
      <c r="H12">
        <v>4256.79</v>
      </c>
      <c r="I12" s="6">
        <v>0.1</v>
      </c>
      <c r="J12" s="8">
        <v>261.61</v>
      </c>
      <c r="K12" s="4" t="s">
        <v>20</v>
      </c>
      <c r="L12" t="s">
        <v>21</v>
      </c>
      <c r="M12">
        <f t="shared" si="0"/>
        <v>425.67900000000003</v>
      </c>
      <c r="N12" s="6">
        <f t="shared" si="1"/>
        <v>6.1457107350844184E-2</v>
      </c>
      <c r="O12" s="6" t="str">
        <f t="shared" si="2"/>
        <v>Dec</v>
      </c>
    </row>
    <row r="13" spans="1:16">
      <c r="A13" t="s">
        <v>59</v>
      </c>
      <c r="B13" s="2">
        <v>45828</v>
      </c>
      <c r="C13" t="s">
        <v>60</v>
      </c>
      <c r="D13" t="s">
        <v>61</v>
      </c>
      <c r="E13" t="s">
        <v>40</v>
      </c>
      <c r="F13" t="s">
        <v>35</v>
      </c>
      <c r="G13" s="10">
        <v>5</v>
      </c>
      <c r="H13">
        <v>3441.58</v>
      </c>
      <c r="I13" s="6">
        <v>0.1</v>
      </c>
      <c r="J13" s="8">
        <v>680.17</v>
      </c>
      <c r="K13" s="4" t="s">
        <v>20</v>
      </c>
      <c r="L13" t="s">
        <v>36</v>
      </c>
      <c r="M13">
        <f t="shared" si="0"/>
        <v>344.15800000000002</v>
      </c>
      <c r="N13" s="6">
        <f t="shared" si="1"/>
        <v>0.19763306388344887</v>
      </c>
      <c r="O13" s="6" t="str">
        <f t="shared" si="2"/>
        <v>Jun</v>
      </c>
    </row>
    <row r="14" spans="1:16">
      <c r="A14" t="s">
        <v>62</v>
      </c>
      <c r="B14" s="2">
        <v>45765</v>
      </c>
      <c r="C14" t="s">
        <v>63</v>
      </c>
      <c r="D14" t="s">
        <v>64</v>
      </c>
      <c r="E14" t="s">
        <v>40</v>
      </c>
      <c r="F14" t="s">
        <v>26</v>
      </c>
      <c r="G14" s="10">
        <v>4</v>
      </c>
      <c r="H14">
        <v>3561.44</v>
      </c>
      <c r="I14" s="6">
        <v>0.25</v>
      </c>
      <c r="J14" s="8">
        <v>592.47</v>
      </c>
      <c r="K14" s="4" t="s">
        <v>65</v>
      </c>
      <c r="L14" t="s">
        <v>36</v>
      </c>
      <c r="M14">
        <f t="shared" si="0"/>
        <v>890.36</v>
      </c>
      <c r="N14" s="6">
        <f t="shared" si="1"/>
        <v>0.16635686688530482</v>
      </c>
      <c r="O14" s="6" t="str">
        <f t="shared" si="2"/>
        <v>Apr</v>
      </c>
    </row>
    <row r="15" spans="1:16">
      <c r="A15" t="s">
        <v>66</v>
      </c>
      <c r="B15" s="2">
        <v>45940</v>
      </c>
      <c r="C15" t="s">
        <v>67</v>
      </c>
      <c r="D15" t="s">
        <v>68</v>
      </c>
      <c r="E15" t="s">
        <v>69</v>
      </c>
      <c r="F15" t="s">
        <v>70</v>
      </c>
      <c r="G15" s="10">
        <v>1</v>
      </c>
      <c r="H15">
        <v>53316.55</v>
      </c>
      <c r="I15" s="6">
        <v>0</v>
      </c>
      <c r="J15" s="8">
        <v>7489.14</v>
      </c>
      <c r="K15" s="4" t="s">
        <v>65</v>
      </c>
      <c r="L15" t="s">
        <v>21</v>
      </c>
      <c r="M15">
        <f t="shared" si="0"/>
        <v>0</v>
      </c>
      <c r="N15" s="6">
        <f t="shared" si="1"/>
        <v>0.14046557776150181</v>
      </c>
      <c r="O15" s="6" t="str">
        <f t="shared" si="2"/>
        <v>Oct</v>
      </c>
    </row>
    <row r="16" spans="1:16">
      <c r="A16" t="s">
        <v>71</v>
      </c>
      <c r="B16" s="2">
        <v>45809</v>
      </c>
      <c r="C16" t="s">
        <v>55</v>
      </c>
      <c r="D16" t="s">
        <v>72</v>
      </c>
      <c r="E16" t="s">
        <v>69</v>
      </c>
      <c r="F16" t="s">
        <v>35</v>
      </c>
      <c r="G16" s="10">
        <v>3</v>
      </c>
      <c r="H16">
        <v>64648.88</v>
      </c>
      <c r="I16" s="6">
        <v>0</v>
      </c>
      <c r="J16" s="8">
        <v>10747.76</v>
      </c>
      <c r="K16" s="4" t="s">
        <v>42</v>
      </c>
      <c r="L16" t="s">
        <v>36</v>
      </c>
      <c r="M16">
        <f t="shared" si="0"/>
        <v>0</v>
      </c>
      <c r="N16" s="6">
        <f t="shared" si="1"/>
        <v>0.16624820105158822</v>
      </c>
      <c r="O16" s="6" t="str">
        <f t="shared" si="2"/>
        <v>Jun</v>
      </c>
    </row>
    <row r="17" spans="1:15">
      <c r="A17" t="s">
        <v>73</v>
      </c>
      <c r="B17" s="2">
        <v>45758</v>
      </c>
      <c r="C17" t="s">
        <v>74</v>
      </c>
      <c r="D17" t="s">
        <v>75</v>
      </c>
      <c r="E17" t="s">
        <v>76</v>
      </c>
      <c r="F17" t="s">
        <v>77</v>
      </c>
      <c r="G17" s="10">
        <v>1</v>
      </c>
      <c r="H17">
        <v>13470.51</v>
      </c>
      <c r="I17" s="6">
        <v>0.1</v>
      </c>
      <c r="J17" s="8">
        <v>2613.2399999999998</v>
      </c>
      <c r="K17" s="4" t="s">
        <v>20</v>
      </c>
      <c r="L17" t="s">
        <v>36</v>
      </c>
      <c r="M17">
        <f t="shared" si="0"/>
        <v>1347.0510000000002</v>
      </c>
      <c r="N17" s="6">
        <f t="shared" si="1"/>
        <v>0.19399710924085278</v>
      </c>
      <c r="O17" s="6" t="str">
        <f t="shared" si="2"/>
        <v>Apr</v>
      </c>
    </row>
    <row r="18" spans="1:15">
      <c r="A18" t="s">
        <v>78</v>
      </c>
      <c r="B18" s="2">
        <v>45787</v>
      </c>
      <c r="C18" t="s">
        <v>79</v>
      </c>
      <c r="D18" t="s">
        <v>72</v>
      </c>
      <c r="E18" t="s">
        <v>69</v>
      </c>
      <c r="F18" t="s">
        <v>70</v>
      </c>
      <c r="G18" s="10">
        <v>5</v>
      </c>
      <c r="H18">
        <v>120835.75</v>
      </c>
      <c r="I18" s="6">
        <v>0.25</v>
      </c>
      <c r="J18" s="8">
        <v>12852.9</v>
      </c>
      <c r="K18" s="4" t="s">
        <v>32</v>
      </c>
      <c r="L18" t="s">
        <v>36</v>
      </c>
      <c r="M18">
        <f t="shared" si="0"/>
        <v>30208.9375</v>
      </c>
      <c r="N18" s="6">
        <f t="shared" si="1"/>
        <v>0.10636670025220185</v>
      </c>
      <c r="O18" s="6" t="str">
        <f t="shared" si="2"/>
        <v>May</v>
      </c>
    </row>
    <row r="19" spans="1:15">
      <c r="A19" t="s">
        <v>80</v>
      </c>
      <c r="B19" s="2">
        <v>45855</v>
      </c>
      <c r="C19" t="s">
        <v>81</v>
      </c>
      <c r="D19" t="s">
        <v>64</v>
      </c>
      <c r="E19" t="s">
        <v>40</v>
      </c>
      <c r="F19" t="s">
        <v>19</v>
      </c>
      <c r="G19" s="10">
        <v>3</v>
      </c>
      <c r="H19">
        <v>6260.92</v>
      </c>
      <c r="I19" s="6">
        <v>0</v>
      </c>
      <c r="J19" s="8">
        <v>581.20000000000005</v>
      </c>
      <c r="K19" s="4" t="s">
        <v>20</v>
      </c>
      <c r="L19" t="s">
        <v>21</v>
      </c>
      <c r="M19">
        <f t="shared" si="0"/>
        <v>0</v>
      </c>
      <c r="N19" s="6">
        <f t="shared" si="1"/>
        <v>9.2829807759881935E-2</v>
      </c>
      <c r="O19" s="6" t="str">
        <f t="shared" si="2"/>
        <v>Jul</v>
      </c>
    </row>
    <row r="20" spans="1:15">
      <c r="A20" t="s">
        <v>82</v>
      </c>
      <c r="B20" s="2">
        <v>46003</v>
      </c>
      <c r="C20" t="s">
        <v>83</v>
      </c>
      <c r="D20" t="s">
        <v>84</v>
      </c>
      <c r="E20" t="s">
        <v>18</v>
      </c>
      <c r="F20" t="s">
        <v>41</v>
      </c>
      <c r="G20" s="10">
        <v>3</v>
      </c>
      <c r="H20">
        <v>8354.07</v>
      </c>
      <c r="I20" s="6">
        <v>0.15</v>
      </c>
      <c r="J20" s="8">
        <v>1795.82</v>
      </c>
      <c r="K20" s="4" t="s">
        <v>27</v>
      </c>
      <c r="L20" t="s">
        <v>21</v>
      </c>
      <c r="M20">
        <f t="shared" si="0"/>
        <v>1253.1105</v>
      </c>
      <c r="N20" s="6">
        <f t="shared" si="1"/>
        <v>0.21496348486426375</v>
      </c>
      <c r="O20" s="6" t="str">
        <f t="shared" si="2"/>
        <v>Dec</v>
      </c>
    </row>
    <row r="21" spans="1:15">
      <c r="A21" t="s">
        <v>85</v>
      </c>
      <c r="B21" s="2">
        <v>45808</v>
      </c>
      <c r="C21" t="s">
        <v>86</v>
      </c>
      <c r="D21" t="s">
        <v>87</v>
      </c>
      <c r="E21" t="s">
        <v>25</v>
      </c>
      <c r="F21" t="s">
        <v>26</v>
      </c>
      <c r="G21" s="10">
        <v>2</v>
      </c>
      <c r="H21">
        <v>2570.9499999999998</v>
      </c>
      <c r="I21" s="6">
        <v>0.15</v>
      </c>
      <c r="J21" s="8">
        <v>203.63</v>
      </c>
      <c r="K21" s="4" t="s">
        <v>42</v>
      </c>
      <c r="L21" t="s">
        <v>36</v>
      </c>
      <c r="M21">
        <f t="shared" si="0"/>
        <v>385.64249999999998</v>
      </c>
      <c r="N21" s="6">
        <f t="shared" si="1"/>
        <v>7.9204185223361021E-2</v>
      </c>
      <c r="O21" s="6" t="str">
        <f t="shared" si="2"/>
        <v>May</v>
      </c>
    </row>
    <row r="22" spans="1:15">
      <c r="A22" t="s">
        <v>88</v>
      </c>
      <c r="B22" s="2">
        <v>45694</v>
      </c>
      <c r="C22" t="s">
        <v>89</v>
      </c>
      <c r="D22" t="s">
        <v>90</v>
      </c>
      <c r="E22" t="s">
        <v>69</v>
      </c>
      <c r="F22" t="s">
        <v>70</v>
      </c>
      <c r="G22" s="10">
        <v>3</v>
      </c>
      <c r="H22">
        <v>38744.99</v>
      </c>
      <c r="I22" s="6">
        <v>0</v>
      </c>
      <c r="J22" s="8">
        <v>4951.1400000000003</v>
      </c>
      <c r="K22" s="4" t="s">
        <v>42</v>
      </c>
      <c r="L22" t="s">
        <v>21</v>
      </c>
      <c r="M22">
        <f t="shared" si="0"/>
        <v>0</v>
      </c>
      <c r="N22" s="6">
        <f t="shared" si="1"/>
        <v>0.12778787657449389</v>
      </c>
      <c r="O22" s="6" t="str">
        <f t="shared" si="2"/>
        <v>Feb</v>
      </c>
    </row>
    <row r="23" spans="1:15">
      <c r="A23" t="s">
        <v>91</v>
      </c>
      <c r="B23" s="2">
        <v>45770</v>
      </c>
      <c r="C23" t="s">
        <v>92</v>
      </c>
      <c r="D23" t="s">
        <v>90</v>
      </c>
      <c r="E23" t="s">
        <v>69</v>
      </c>
      <c r="F23" t="s">
        <v>41</v>
      </c>
      <c r="G23" s="10">
        <v>4</v>
      </c>
      <c r="H23">
        <v>198856.41</v>
      </c>
      <c r="I23" s="6">
        <v>0.15</v>
      </c>
      <c r="J23" s="8">
        <v>38351.4</v>
      </c>
      <c r="K23" s="4" t="s">
        <v>32</v>
      </c>
      <c r="L23" t="s">
        <v>21</v>
      </c>
      <c r="M23">
        <f t="shared" si="0"/>
        <v>29828.461499999998</v>
      </c>
      <c r="N23" s="6">
        <f t="shared" si="1"/>
        <v>0.19285976247886605</v>
      </c>
      <c r="O23" s="6" t="str">
        <f t="shared" si="2"/>
        <v>Apr</v>
      </c>
    </row>
    <row r="24" spans="1:15">
      <c r="A24" t="s">
        <v>93</v>
      </c>
      <c r="B24" s="2">
        <v>45967</v>
      </c>
      <c r="C24" t="s">
        <v>94</v>
      </c>
      <c r="D24" t="s">
        <v>95</v>
      </c>
      <c r="E24" t="s">
        <v>76</v>
      </c>
      <c r="F24" t="s">
        <v>77</v>
      </c>
      <c r="G24" s="10">
        <v>3</v>
      </c>
      <c r="H24">
        <v>29860.31</v>
      </c>
      <c r="I24" s="6">
        <v>0</v>
      </c>
      <c r="J24" s="8">
        <v>3522.94</v>
      </c>
      <c r="K24" s="4" t="s">
        <v>20</v>
      </c>
      <c r="L24" t="s">
        <v>36</v>
      </c>
      <c r="M24">
        <f t="shared" si="0"/>
        <v>0</v>
      </c>
      <c r="N24" s="6">
        <f t="shared" si="1"/>
        <v>0.117980690756392</v>
      </c>
      <c r="O24" s="6" t="str">
        <f t="shared" si="2"/>
        <v>Nov</v>
      </c>
    </row>
    <row r="25" spans="1:15">
      <c r="A25" t="s">
        <v>96</v>
      </c>
      <c r="B25" s="2">
        <v>45690</v>
      </c>
      <c r="C25" t="s">
        <v>97</v>
      </c>
      <c r="D25" t="s">
        <v>58</v>
      </c>
      <c r="E25" t="s">
        <v>25</v>
      </c>
      <c r="F25" t="s">
        <v>77</v>
      </c>
      <c r="G25" s="10">
        <v>4</v>
      </c>
      <c r="H25">
        <v>8074.28</v>
      </c>
      <c r="I25" s="6">
        <v>0.25</v>
      </c>
      <c r="J25" s="8">
        <v>1038.23</v>
      </c>
      <c r="K25" s="4" t="s">
        <v>20</v>
      </c>
      <c r="L25" t="s">
        <v>21</v>
      </c>
      <c r="M25">
        <f t="shared" si="0"/>
        <v>2018.57</v>
      </c>
      <c r="N25" s="6">
        <f t="shared" si="1"/>
        <v>0.12858483976280238</v>
      </c>
      <c r="O25" s="6" t="str">
        <f t="shared" si="2"/>
        <v>Feb</v>
      </c>
    </row>
    <row r="26" spans="1:15">
      <c r="A26" t="s">
        <v>98</v>
      </c>
      <c r="B26" s="2">
        <v>45943</v>
      </c>
      <c r="C26" t="s">
        <v>99</v>
      </c>
      <c r="D26" t="s">
        <v>53</v>
      </c>
      <c r="E26" t="s">
        <v>25</v>
      </c>
      <c r="F26" t="s">
        <v>70</v>
      </c>
      <c r="G26" s="10">
        <v>1</v>
      </c>
      <c r="H26">
        <v>3011.45</v>
      </c>
      <c r="I26" s="6">
        <v>0</v>
      </c>
      <c r="J26" s="8">
        <v>283.24</v>
      </c>
      <c r="K26" s="4" t="s">
        <v>42</v>
      </c>
      <c r="L26" t="s">
        <v>36</v>
      </c>
      <c r="M26">
        <f t="shared" si="0"/>
        <v>0</v>
      </c>
      <c r="N26" s="6">
        <f t="shared" si="1"/>
        <v>9.4054359195736278E-2</v>
      </c>
      <c r="O26" s="6" t="str">
        <f t="shared" si="2"/>
        <v>Oct</v>
      </c>
    </row>
    <row r="27" spans="1:15">
      <c r="A27" t="s">
        <v>100</v>
      </c>
      <c r="B27" s="2">
        <v>45877</v>
      </c>
      <c r="C27" t="s">
        <v>55</v>
      </c>
      <c r="D27" t="s">
        <v>68</v>
      </c>
      <c r="E27" t="s">
        <v>69</v>
      </c>
      <c r="F27" t="s">
        <v>19</v>
      </c>
      <c r="G27" s="10">
        <v>5</v>
      </c>
      <c r="H27">
        <v>70304.149999999994</v>
      </c>
      <c r="I27" s="6">
        <v>0.25</v>
      </c>
      <c r="J27" s="8">
        <v>11306.08</v>
      </c>
      <c r="K27" s="4" t="s">
        <v>20</v>
      </c>
      <c r="L27" t="s">
        <v>21</v>
      </c>
      <c r="M27">
        <f t="shared" si="0"/>
        <v>17576.037499999999</v>
      </c>
      <c r="N27" s="6">
        <f t="shared" si="1"/>
        <v>0.16081668009640968</v>
      </c>
      <c r="O27" s="6" t="str">
        <f t="shared" si="2"/>
        <v>Aug</v>
      </c>
    </row>
    <row r="28" spans="1:15">
      <c r="A28" t="s">
        <v>101</v>
      </c>
      <c r="B28" s="2">
        <v>45773</v>
      </c>
      <c r="C28" t="s">
        <v>102</v>
      </c>
      <c r="D28" t="s">
        <v>56</v>
      </c>
      <c r="E28" t="s">
        <v>40</v>
      </c>
      <c r="F28" t="s">
        <v>41</v>
      </c>
      <c r="G28" s="10">
        <v>5</v>
      </c>
      <c r="H28">
        <v>5582.35</v>
      </c>
      <c r="I28" s="6">
        <v>0</v>
      </c>
      <c r="J28" s="8">
        <v>797.96</v>
      </c>
      <c r="K28" s="4" t="s">
        <v>27</v>
      </c>
      <c r="L28" t="s">
        <v>21</v>
      </c>
      <c r="M28">
        <f t="shared" si="0"/>
        <v>0</v>
      </c>
      <c r="N28" s="6">
        <f t="shared" si="1"/>
        <v>0.14294338405868495</v>
      </c>
      <c r="O28" s="6" t="str">
        <f t="shared" si="2"/>
        <v>Apr</v>
      </c>
    </row>
    <row r="29" spans="1:15">
      <c r="A29" t="s">
        <v>103</v>
      </c>
      <c r="B29" s="2">
        <v>45831</v>
      </c>
      <c r="C29" t="s">
        <v>104</v>
      </c>
      <c r="D29" t="s">
        <v>75</v>
      </c>
      <c r="E29" t="s">
        <v>76</v>
      </c>
      <c r="F29" t="s">
        <v>35</v>
      </c>
      <c r="G29" s="10">
        <v>2</v>
      </c>
      <c r="H29">
        <v>14126.41</v>
      </c>
      <c r="I29" s="6">
        <v>0.25</v>
      </c>
      <c r="J29" s="8">
        <v>2101.1</v>
      </c>
      <c r="K29" s="4" t="s">
        <v>27</v>
      </c>
      <c r="L29" t="s">
        <v>36</v>
      </c>
      <c r="M29">
        <f t="shared" si="0"/>
        <v>3531.6025</v>
      </c>
      <c r="N29" s="6">
        <f t="shared" si="1"/>
        <v>0.1487355952432359</v>
      </c>
      <c r="O29" s="6" t="str">
        <f t="shared" si="2"/>
        <v>Jun</v>
      </c>
    </row>
    <row r="30" spans="1:15">
      <c r="A30" t="s">
        <v>105</v>
      </c>
      <c r="B30" s="2">
        <v>45903</v>
      </c>
      <c r="C30" t="s">
        <v>106</v>
      </c>
      <c r="D30" t="s">
        <v>68</v>
      </c>
      <c r="E30" t="s">
        <v>69</v>
      </c>
      <c r="F30" t="s">
        <v>107</v>
      </c>
      <c r="G30" s="10">
        <v>5</v>
      </c>
      <c r="H30">
        <v>94220.77</v>
      </c>
      <c r="I30" s="6">
        <v>0.05</v>
      </c>
      <c r="J30" s="8">
        <v>21062.3</v>
      </c>
      <c r="K30" s="4" t="s">
        <v>42</v>
      </c>
      <c r="L30" t="s">
        <v>21</v>
      </c>
      <c r="M30">
        <f t="shared" si="0"/>
        <v>4711.0385000000006</v>
      </c>
      <c r="N30" s="6">
        <f t="shared" si="1"/>
        <v>0.22354200671465535</v>
      </c>
      <c r="O30" s="6" t="str">
        <f t="shared" si="2"/>
        <v>Sep</v>
      </c>
    </row>
    <row r="31" spans="1:15">
      <c r="A31" t="s">
        <v>108</v>
      </c>
      <c r="B31" s="2">
        <v>45677</v>
      </c>
      <c r="C31" t="s">
        <v>109</v>
      </c>
      <c r="D31" t="s">
        <v>90</v>
      </c>
      <c r="E31" t="s">
        <v>69</v>
      </c>
      <c r="F31" t="s">
        <v>31</v>
      </c>
      <c r="G31" s="10">
        <v>1</v>
      </c>
      <c r="H31">
        <v>4015.81</v>
      </c>
      <c r="I31" s="6">
        <v>0.25</v>
      </c>
      <c r="J31" s="8">
        <v>881.37</v>
      </c>
      <c r="K31" s="4" t="s">
        <v>42</v>
      </c>
      <c r="L31" t="s">
        <v>21</v>
      </c>
      <c r="M31">
        <f t="shared" si="0"/>
        <v>1003.9525</v>
      </c>
      <c r="N31" s="6">
        <f t="shared" si="1"/>
        <v>0.21947502496383045</v>
      </c>
      <c r="O31" s="6" t="str">
        <f t="shared" si="2"/>
        <v>Jan</v>
      </c>
    </row>
    <row r="32" spans="1:15">
      <c r="A32" t="s">
        <v>110</v>
      </c>
      <c r="B32" s="2">
        <v>45720</v>
      </c>
      <c r="C32" t="s">
        <v>111</v>
      </c>
      <c r="D32" t="s">
        <v>58</v>
      </c>
      <c r="E32" t="s">
        <v>25</v>
      </c>
      <c r="F32" t="s">
        <v>77</v>
      </c>
      <c r="G32" s="10">
        <v>5</v>
      </c>
      <c r="H32">
        <v>20154.189999999999</v>
      </c>
      <c r="I32" s="6">
        <v>0.05</v>
      </c>
      <c r="J32" s="8">
        <v>1717.46</v>
      </c>
      <c r="K32" s="4" t="s">
        <v>32</v>
      </c>
      <c r="L32" t="s">
        <v>36</v>
      </c>
      <c r="M32">
        <f t="shared" si="0"/>
        <v>1007.7094999999999</v>
      </c>
      <c r="N32" s="6">
        <f t="shared" si="1"/>
        <v>8.5216027039538678E-2</v>
      </c>
      <c r="O32" s="6" t="str">
        <f t="shared" si="2"/>
        <v>Mar</v>
      </c>
    </row>
    <row r="33" spans="1:15">
      <c r="A33" t="s">
        <v>112</v>
      </c>
      <c r="B33" s="2">
        <v>45765</v>
      </c>
      <c r="C33" t="s">
        <v>113</v>
      </c>
      <c r="D33" t="s">
        <v>114</v>
      </c>
      <c r="E33" t="s">
        <v>69</v>
      </c>
      <c r="F33" t="s">
        <v>31</v>
      </c>
      <c r="G33" s="10">
        <v>5</v>
      </c>
      <c r="H33">
        <v>113086.59</v>
      </c>
      <c r="I33" s="6">
        <v>0.25</v>
      </c>
      <c r="J33" s="8">
        <v>7929.16</v>
      </c>
      <c r="K33" s="4" t="s">
        <v>32</v>
      </c>
      <c r="L33" t="s">
        <v>21</v>
      </c>
      <c r="M33">
        <f t="shared" si="0"/>
        <v>28271.647499999999</v>
      </c>
      <c r="N33" s="6">
        <f t="shared" si="1"/>
        <v>7.0115828941344854E-2</v>
      </c>
      <c r="O33" s="6" t="str">
        <f t="shared" si="2"/>
        <v>Apr</v>
      </c>
    </row>
    <row r="34" spans="1:15">
      <c r="A34" t="s">
        <v>115</v>
      </c>
      <c r="B34" s="2">
        <v>45781</v>
      </c>
      <c r="C34" t="s">
        <v>116</v>
      </c>
      <c r="D34" t="s">
        <v>17</v>
      </c>
      <c r="E34" t="s">
        <v>18</v>
      </c>
      <c r="F34" t="s">
        <v>35</v>
      </c>
      <c r="G34" s="10">
        <v>2</v>
      </c>
      <c r="H34">
        <v>2854.47</v>
      </c>
      <c r="I34" s="6">
        <v>0</v>
      </c>
      <c r="J34" s="8">
        <v>429.31</v>
      </c>
      <c r="K34" s="4" t="s">
        <v>27</v>
      </c>
      <c r="L34" t="s">
        <v>36</v>
      </c>
      <c r="M34">
        <f t="shared" si="0"/>
        <v>0</v>
      </c>
      <c r="N34" s="6">
        <f t="shared" si="1"/>
        <v>0.15039919845015012</v>
      </c>
      <c r="O34" s="6" t="str">
        <f t="shared" si="2"/>
        <v>May</v>
      </c>
    </row>
    <row r="35" spans="1:15">
      <c r="A35" t="s">
        <v>117</v>
      </c>
      <c r="B35" s="2">
        <v>45786</v>
      </c>
      <c r="C35" t="s">
        <v>118</v>
      </c>
      <c r="D35" t="s">
        <v>50</v>
      </c>
      <c r="E35" t="s">
        <v>40</v>
      </c>
      <c r="F35" t="s">
        <v>41</v>
      </c>
      <c r="G35" s="10">
        <v>2</v>
      </c>
      <c r="H35">
        <v>4387.54</v>
      </c>
      <c r="I35" s="6">
        <v>0.05</v>
      </c>
      <c r="J35" s="8">
        <v>565.99</v>
      </c>
      <c r="K35" s="4" t="s">
        <v>20</v>
      </c>
      <c r="L35" t="s">
        <v>36</v>
      </c>
      <c r="M35">
        <f t="shared" si="0"/>
        <v>219.37700000000001</v>
      </c>
      <c r="N35" s="6">
        <f t="shared" si="1"/>
        <v>0.1289993937377209</v>
      </c>
      <c r="O35" s="6" t="str">
        <f t="shared" si="2"/>
        <v>May</v>
      </c>
    </row>
    <row r="36" spans="1:15">
      <c r="A36" t="s">
        <v>119</v>
      </c>
      <c r="B36" s="2">
        <v>46006</v>
      </c>
      <c r="C36" t="s">
        <v>120</v>
      </c>
      <c r="D36" t="s">
        <v>61</v>
      </c>
      <c r="E36" t="s">
        <v>40</v>
      </c>
      <c r="F36" t="s">
        <v>77</v>
      </c>
      <c r="G36" s="10">
        <v>3</v>
      </c>
      <c r="H36">
        <v>2179.9699999999998</v>
      </c>
      <c r="I36" s="6">
        <v>0.1</v>
      </c>
      <c r="J36" s="8">
        <v>536.6</v>
      </c>
      <c r="K36" s="4" t="s">
        <v>42</v>
      </c>
      <c r="L36" t="s">
        <v>36</v>
      </c>
      <c r="M36">
        <f t="shared" si="0"/>
        <v>217.99699999999999</v>
      </c>
      <c r="N36" s="6">
        <f t="shared" si="1"/>
        <v>0.24615017637857406</v>
      </c>
      <c r="O36" s="6" t="str">
        <f t="shared" si="2"/>
        <v>Dec</v>
      </c>
    </row>
    <row r="37" spans="1:15">
      <c r="A37" t="s">
        <v>121</v>
      </c>
      <c r="B37" s="2">
        <v>45861</v>
      </c>
      <c r="C37" t="s">
        <v>89</v>
      </c>
      <c r="D37" t="s">
        <v>90</v>
      </c>
      <c r="E37" t="s">
        <v>69</v>
      </c>
      <c r="F37" t="s">
        <v>77</v>
      </c>
      <c r="G37" s="10">
        <v>2</v>
      </c>
      <c r="H37">
        <v>79692.789999999994</v>
      </c>
      <c r="I37" s="6">
        <v>0.2</v>
      </c>
      <c r="J37" s="8">
        <v>14124.41</v>
      </c>
      <c r="K37" s="4" t="s">
        <v>20</v>
      </c>
      <c r="L37" t="s">
        <v>21</v>
      </c>
      <c r="M37">
        <f t="shared" si="0"/>
        <v>15938.557999999999</v>
      </c>
      <c r="N37" s="6">
        <f t="shared" si="1"/>
        <v>0.17723573236675488</v>
      </c>
      <c r="O37" s="6" t="str">
        <f t="shared" si="2"/>
        <v>Jul</v>
      </c>
    </row>
    <row r="38" spans="1:15">
      <c r="A38" t="s">
        <v>122</v>
      </c>
      <c r="B38" s="2">
        <v>45947</v>
      </c>
      <c r="C38" t="s">
        <v>123</v>
      </c>
      <c r="D38" t="s">
        <v>124</v>
      </c>
      <c r="E38" t="s">
        <v>76</v>
      </c>
      <c r="F38" t="s">
        <v>19</v>
      </c>
      <c r="G38" s="10">
        <v>4</v>
      </c>
      <c r="H38">
        <v>22541.16</v>
      </c>
      <c r="I38" s="6">
        <v>0.05</v>
      </c>
      <c r="J38" s="8">
        <v>5980.49</v>
      </c>
      <c r="K38" s="4" t="s">
        <v>20</v>
      </c>
      <c r="L38" t="s">
        <v>21</v>
      </c>
      <c r="M38">
        <f t="shared" si="0"/>
        <v>1127.058</v>
      </c>
      <c r="N38" s="6">
        <f t="shared" si="1"/>
        <v>0.26531420743209311</v>
      </c>
      <c r="O38" s="6" t="str">
        <f t="shared" si="2"/>
        <v>Oct</v>
      </c>
    </row>
    <row r="39" spans="1:15">
      <c r="A39" t="s">
        <v>125</v>
      </c>
      <c r="B39" s="2">
        <v>45817</v>
      </c>
      <c r="C39" t="s">
        <v>97</v>
      </c>
      <c r="D39" t="s">
        <v>126</v>
      </c>
      <c r="E39" t="s">
        <v>76</v>
      </c>
      <c r="F39" t="s">
        <v>41</v>
      </c>
      <c r="G39" s="10">
        <v>3</v>
      </c>
      <c r="H39">
        <v>30890.1</v>
      </c>
      <c r="I39" s="6">
        <v>0.15</v>
      </c>
      <c r="J39" s="8">
        <v>4314.29</v>
      </c>
      <c r="K39" s="4" t="s">
        <v>20</v>
      </c>
      <c r="L39" t="s">
        <v>21</v>
      </c>
      <c r="M39">
        <f t="shared" si="0"/>
        <v>4633.5149999999994</v>
      </c>
      <c r="N39" s="6">
        <f t="shared" si="1"/>
        <v>0.13966578288836878</v>
      </c>
      <c r="O39" s="6" t="str">
        <f t="shared" si="2"/>
        <v>Jun</v>
      </c>
    </row>
    <row r="40" spans="1:15">
      <c r="A40" t="s">
        <v>127</v>
      </c>
      <c r="B40" s="2">
        <v>45722</v>
      </c>
      <c r="C40" t="s">
        <v>128</v>
      </c>
      <c r="D40" t="s">
        <v>64</v>
      </c>
      <c r="E40" t="s">
        <v>40</v>
      </c>
      <c r="F40" t="s">
        <v>31</v>
      </c>
      <c r="G40" s="10">
        <v>1</v>
      </c>
      <c r="H40">
        <v>1544.26</v>
      </c>
      <c r="I40" s="6">
        <v>0.1</v>
      </c>
      <c r="J40" s="8">
        <v>185.77</v>
      </c>
      <c r="K40" s="4" t="s">
        <v>27</v>
      </c>
      <c r="L40" t="s">
        <v>36</v>
      </c>
      <c r="M40">
        <f t="shared" si="0"/>
        <v>154.42600000000002</v>
      </c>
      <c r="N40" s="6">
        <f t="shared" si="1"/>
        <v>0.12029710022923602</v>
      </c>
      <c r="O40" s="6" t="str">
        <f t="shared" si="2"/>
        <v>Mar</v>
      </c>
    </row>
    <row r="41" spans="1:15">
      <c r="A41" t="s">
        <v>129</v>
      </c>
      <c r="B41" s="2">
        <v>45747</v>
      </c>
      <c r="C41" t="s">
        <v>130</v>
      </c>
      <c r="D41" t="s">
        <v>75</v>
      </c>
      <c r="E41" t="s">
        <v>76</v>
      </c>
      <c r="F41" t="s">
        <v>31</v>
      </c>
      <c r="G41" s="10">
        <v>5</v>
      </c>
      <c r="H41">
        <v>60565.79</v>
      </c>
      <c r="I41" s="6">
        <v>0.05</v>
      </c>
      <c r="J41" s="8">
        <v>8752.34</v>
      </c>
      <c r="K41" s="4" t="s">
        <v>42</v>
      </c>
      <c r="L41" t="s">
        <v>21</v>
      </c>
      <c r="M41">
        <f t="shared" si="0"/>
        <v>3028.2895000000003</v>
      </c>
      <c r="N41" s="6">
        <f t="shared" si="1"/>
        <v>0.14450963159235602</v>
      </c>
      <c r="O41" s="6" t="str">
        <f t="shared" si="2"/>
        <v>Mar</v>
      </c>
    </row>
    <row r="42" spans="1:15">
      <c r="A42" t="s">
        <v>131</v>
      </c>
      <c r="B42" s="2">
        <v>45874</v>
      </c>
      <c r="C42" t="s">
        <v>92</v>
      </c>
      <c r="D42" t="s">
        <v>124</v>
      </c>
      <c r="E42" t="s">
        <v>76</v>
      </c>
      <c r="F42" t="s">
        <v>19</v>
      </c>
      <c r="G42" s="10">
        <v>5</v>
      </c>
      <c r="H42">
        <v>61752.15</v>
      </c>
      <c r="I42" s="6">
        <v>0.15</v>
      </c>
      <c r="J42" s="8">
        <v>5496.69</v>
      </c>
      <c r="K42" s="4" t="s">
        <v>32</v>
      </c>
      <c r="L42" t="s">
        <v>21</v>
      </c>
      <c r="M42">
        <f t="shared" si="0"/>
        <v>9262.8225000000002</v>
      </c>
      <c r="N42" s="6">
        <f t="shared" si="1"/>
        <v>8.9012123464527138E-2</v>
      </c>
      <c r="O42" s="6" t="str">
        <f t="shared" si="2"/>
        <v>Aug</v>
      </c>
    </row>
    <row r="43" spans="1:15">
      <c r="A43" t="s">
        <v>132</v>
      </c>
      <c r="B43" s="2">
        <v>45809</v>
      </c>
      <c r="C43" t="s">
        <v>133</v>
      </c>
      <c r="D43" t="s">
        <v>45</v>
      </c>
      <c r="E43" t="s">
        <v>18</v>
      </c>
      <c r="F43" t="s">
        <v>77</v>
      </c>
      <c r="G43" s="10">
        <v>5</v>
      </c>
      <c r="H43">
        <v>4426.67</v>
      </c>
      <c r="I43" s="6">
        <v>0.2</v>
      </c>
      <c r="J43" s="8">
        <v>1032.52</v>
      </c>
      <c r="K43" s="4" t="s">
        <v>65</v>
      </c>
      <c r="L43" t="s">
        <v>21</v>
      </c>
      <c r="M43">
        <f t="shared" si="0"/>
        <v>885.33400000000006</v>
      </c>
      <c r="N43" s="6">
        <f t="shared" si="1"/>
        <v>0.23324982436007202</v>
      </c>
      <c r="O43" s="6" t="str">
        <f t="shared" si="2"/>
        <v>Jun</v>
      </c>
    </row>
    <row r="44" spans="1:15">
      <c r="A44" t="s">
        <v>134</v>
      </c>
      <c r="B44" s="2">
        <v>45844</v>
      </c>
      <c r="C44" t="s">
        <v>135</v>
      </c>
      <c r="D44" t="s">
        <v>30</v>
      </c>
      <c r="E44" t="s">
        <v>18</v>
      </c>
      <c r="F44" t="s">
        <v>41</v>
      </c>
      <c r="G44" s="10">
        <v>3</v>
      </c>
      <c r="H44">
        <v>4281.3599999999997</v>
      </c>
      <c r="I44" s="6">
        <v>0.15</v>
      </c>
      <c r="J44" s="8">
        <v>1100.28</v>
      </c>
      <c r="K44" s="4" t="s">
        <v>42</v>
      </c>
      <c r="L44" t="s">
        <v>21</v>
      </c>
      <c r="M44">
        <f t="shared" si="0"/>
        <v>642.20399999999995</v>
      </c>
      <c r="N44" s="6">
        <f t="shared" si="1"/>
        <v>0.25699310499467459</v>
      </c>
      <c r="O44" s="6" t="str">
        <f t="shared" si="2"/>
        <v>Jul</v>
      </c>
    </row>
    <row r="45" spans="1:15">
      <c r="A45" t="s">
        <v>136</v>
      </c>
      <c r="B45" s="2">
        <v>45801</v>
      </c>
      <c r="C45" t="s">
        <v>137</v>
      </c>
      <c r="D45" t="s">
        <v>84</v>
      </c>
      <c r="E45" t="s">
        <v>18</v>
      </c>
      <c r="F45" t="s">
        <v>26</v>
      </c>
      <c r="G45" s="10">
        <v>5</v>
      </c>
      <c r="H45">
        <v>2331.02</v>
      </c>
      <c r="I45" s="6">
        <v>0.15</v>
      </c>
      <c r="J45" s="8">
        <v>292.32</v>
      </c>
      <c r="K45" s="4" t="s">
        <v>20</v>
      </c>
      <c r="L45" t="s">
        <v>21</v>
      </c>
      <c r="M45">
        <f t="shared" si="0"/>
        <v>349.65299999999996</v>
      </c>
      <c r="N45" s="6">
        <f t="shared" si="1"/>
        <v>0.12540432943518287</v>
      </c>
      <c r="O45" s="6" t="str">
        <f t="shared" si="2"/>
        <v>May</v>
      </c>
    </row>
    <row r="46" spans="1:15">
      <c r="A46" t="s">
        <v>138</v>
      </c>
      <c r="B46" s="2">
        <v>45699</v>
      </c>
      <c r="C46" t="s">
        <v>139</v>
      </c>
      <c r="D46" t="s">
        <v>114</v>
      </c>
      <c r="E46" t="s">
        <v>69</v>
      </c>
      <c r="F46" t="s">
        <v>70</v>
      </c>
      <c r="G46" s="10">
        <v>2</v>
      </c>
      <c r="H46">
        <v>8541.02</v>
      </c>
      <c r="I46" s="6">
        <v>0.05</v>
      </c>
      <c r="J46" s="8">
        <v>1209.6500000000001</v>
      </c>
      <c r="K46" s="4" t="s">
        <v>32</v>
      </c>
      <c r="L46" t="s">
        <v>36</v>
      </c>
      <c r="M46">
        <f t="shared" si="0"/>
        <v>427.05100000000004</v>
      </c>
      <c r="N46" s="6">
        <f t="shared" si="1"/>
        <v>0.14162828327295804</v>
      </c>
      <c r="O46" s="6" t="str">
        <f t="shared" si="2"/>
        <v>Feb</v>
      </c>
    </row>
    <row r="47" spans="1:15">
      <c r="A47" t="s">
        <v>140</v>
      </c>
      <c r="B47" s="2">
        <v>45910</v>
      </c>
      <c r="C47" t="s">
        <v>141</v>
      </c>
      <c r="D47" t="s">
        <v>30</v>
      </c>
      <c r="E47" t="s">
        <v>18</v>
      </c>
      <c r="F47" t="s">
        <v>107</v>
      </c>
      <c r="G47" s="10">
        <v>5</v>
      </c>
      <c r="H47">
        <v>5228.95</v>
      </c>
      <c r="I47" s="6">
        <v>0</v>
      </c>
      <c r="J47" s="8">
        <v>1216.04</v>
      </c>
      <c r="K47" s="4" t="s">
        <v>20</v>
      </c>
      <c r="L47" t="s">
        <v>36</v>
      </c>
      <c r="M47">
        <f t="shared" si="0"/>
        <v>0</v>
      </c>
      <c r="N47" s="6">
        <f t="shared" si="1"/>
        <v>0.23255911798735884</v>
      </c>
      <c r="O47" s="6" t="str">
        <f t="shared" si="2"/>
        <v>Sep</v>
      </c>
    </row>
    <row r="48" spans="1:15">
      <c r="A48" t="s">
        <v>142</v>
      </c>
      <c r="B48" s="2">
        <v>45999</v>
      </c>
      <c r="C48" t="s">
        <v>143</v>
      </c>
      <c r="D48" t="s">
        <v>24</v>
      </c>
      <c r="E48" t="s">
        <v>25</v>
      </c>
      <c r="F48" t="s">
        <v>26</v>
      </c>
      <c r="G48" s="10">
        <v>4</v>
      </c>
      <c r="H48">
        <v>5649.68</v>
      </c>
      <c r="I48" s="6">
        <v>0</v>
      </c>
      <c r="J48" s="8">
        <v>1108.51</v>
      </c>
      <c r="K48" s="4" t="s">
        <v>32</v>
      </c>
      <c r="L48" t="s">
        <v>21</v>
      </c>
      <c r="M48">
        <f t="shared" si="0"/>
        <v>0</v>
      </c>
      <c r="N48" s="6">
        <f t="shared" si="1"/>
        <v>0.19620757281828349</v>
      </c>
      <c r="O48" s="6" t="str">
        <f t="shared" si="2"/>
        <v>Dec</v>
      </c>
    </row>
    <row r="49" spans="1:15">
      <c r="A49" t="s">
        <v>144</v>
      </c>
      <c r="B49" s="2">
        <v>45676</v>
      </c>
      <c r="C49" t="s">
        <v>145</v>
      </c>
      <c r="D49" t="s">
        <v>146</v>
      </c>
      <c r="E49" t="s">
        <v>25</v>
      </c>
      <c r="F49" t="s">
        <v>26</v>
      </c>
      <c r="G49" s="10">
        <v>3</v>
      </c>
      <c r="H49">
        <v>4253.07</v>
      </c>
      <c r="I49" s="6">
        <v>0.05</v>
      </c>
      <c r="J49" s="8">
        <v>769.18</v>
      </c>
      <c r="K49" s="4" t="s">
        <v>20</v>
      </c>
      <c r="L49" t="s">
        <v>21</v>
      </c>
      <c r="M49">
        <f t="shared" si="0"/>
        <v>212.65350000000001</v>
      </c>
      <c r="N49" s="6">
        <f t="shared" si="1"/>
        <v>0.18085288979490111</v>
      </c>
      <c r="O49" s="6" t="str">
        <f t="shared" si="2"/>
        <v>Jan</v>
      </c>
    </row>
    <row r="50" spans="1:15">
      <c r="A50" t="s">
        <v>147</v>
      </c>
      <c r="B50" s="2">
        <v>45847</v>
      </c>
      <c r="C50" t="s">
        <v>148</v>
      </c>
      <c r="D50" t="s">
        <v>72</v>
      </c>
      <c r="E50" t="s">
        <v>69</v>
      </c>
      <c r="F50" t="s">
        <v>107</v>
      </c>
      <c r="G50" s="10">
        <v>1</v>
      </c>
      <c r="H50">
        <v>24866.69</v>
      </c>
      <c r="I50" s="6">
        <v>0</v>
      </c>
      <c r="J50" s="8">
        <v>1917.25</v>
      </c>
      <c r="K50" s="4" t="s">
        <v>27</v>
      </c>
      <c r="L50" t="s">
        <v>36</v>
      </c>
      <c r="M50">
        <f t="shared" si="0"/>
        <v>0</v>
      </c>
      <c r="N50" s="6">
        <f t="shared" si="1"/>
        <v>7.7101134087407694E-2</v>
      </c>
      <c r="O50" s="6" t="str">
        <f t="shared" si="2"/>
        <v>Jul</v>
      </c>
    </row>
    <row r="51" spans="1:15">
      <c r="A51" t="s">
        <v>149</v>
      </c>
      <c r="B51" s="2">
        <v>45806</v>
      </c>
      <c r="C51" t="s">
        <v>150</v>
      </c>
      <c r="D51" t="s">
        <v>61</v>
      </c>
      <c r="E51" t="s">
        <v>40</v>
      </c>
      <c r="F51" t="s">
        <v>41</v>
      </c>
      <c r="G51" s="10">
        <v>5</v>
      </c>
      <c r="H51">
        <v>9936.68</v>
      </c>
      <c r="I51" s="6">
        <v>0.2</v>
      </c>
      <c r="J51" s="8">
        <v>1071.5899999999999</v>
      </c>
      <c r="K51" s="4" t="s">
        <v>27</v>
      </c>
      <c r="L51" t="s">
        <v>36</v>
      </c>
      <c r="M51">
        <f t="shared" si="0"/>
        <v>1987.3360000000002</v>
      </c>
      <c r="N51" s="6">
        <f t="shared" si="1"/>
        <v>0.10784185462347584</v>
      </c>
      <c r="O51" s="6" t="str">
        <f t="shared" si="2"/>
        <v>May</v>
      </c>
    </row>
    <row r="52" spans="1:15">
      <c r="A52" t="s">
        <v>151</v>
      </c>
      <c r="B52" s="2">
        <v>45711</v>
      </c>
      <c r="C52" t="s">
        <v>152</v>
      </c>
      <c r="D52" t="s">
        <v>68</v>
      </c>
      <c r="E52" t="s">
        <v>69</v>
      </c>
      <c r="F52" t="s">
        <v>19</v>
      </c>
      <c r="G52" s="10">
        <v>3</v>
      </c>
      <c r="H52">
        <v>175963.03</v>
      </c>
      <c r="I52" s="6">
        <v>0</v>
      </c>
      <c r="J52" s="8">
        <v>42760.4</v>
      </c>
      <c r="K52" s="4" t="s">
        <v>42</v>
      </c>
      <c r="L52" t="s">
        <v>36</v>
      </c>
      <c r="M52">
        <f t="shared" si="0"/>
        <v>0</v>
      </c>
      <c r="N52" s="6">
        <f t="shared" si="1"/>
        <v>0.24300786364044766</v>
      </c>
      <c r="O52" s="6" t="str">
        <f t="shared" si="2"/>
        <v>Feb</v>
      </c>
    </row>
    <row r="53" spans="1:15">
      <c r="A53" t="s">
        <v>153</v>
      </c>
      <c r="B53" s="2">
        <v>45821</v>
      </c>
      <c r="C53" t="s">
        <v>148</v>
      </c>
      <c r="D53" t="s">
        <v>39</v>
      </c>
      <c r="E53" t="s">
        <v>40</v>
      </c>
      <c r="F53" t="s">
        <v>41</v>
      </c>
      <c r="G53" s="10">
        <v>2</v>
      </c>
      <c r="H53">
        <v>1910.13</v>
      </c>
      <c r="I53" s="6">
        <v>0.15</v>
      </c>
      <c r="J53" s="8">
        <v>392.14</v>
      </c>
      <c r="K53" s="4" t="s">
        <v>42</v>
      </c>
      <c r="L53" t="s">
        <v>21</v>
      </c>
      <c r="M53">
        <f t="shared" si="0"/>
        <v>286.51949999999999</v>
      </c>
      <c r="N53" s="6">
        <f t="shared" si="1"/>
        <v>0.20529492757037476</v>
      </c>
      <c r="O53" s="6" t="str">
        <f t="shared" si="2"/>
        <v>Jun</v>
      </c>
    </row>
    <row r="54" spans="1:15">
      <c r="A54" t="s">
        <v>154</v>
      </c>
      <c r="B54" s="2">
        <v>45869</v>
      </c>
      <c r="C54" t="s">
        <v>155</v>
      </c>
      <c r="D54" t="s">
        <v>68</v>
      </c>
      <c r="E54" t="s">
        <v>69</v>
      </c>
      <c r="F54" t="s">
        <v>77</v>
      </c>
      <c r="G54" s="10">
        <v>5</v>
      </c>
      <c r="H54">
        <v>179038.97</v>
      </c>
      <c r="I54" s="6">
        <v>0.2</v>
      </c>
      <c r="J54" s="8">
        <v>19023.38</v>
      </c>
      <c r="K54" s="4" t="s">
        <v>27</v>
      </c>
      <c r="L54" t="s">
        <v>21</v>
      </c>
      <c r="M54">
        <f t="shared" si="0"/>
        <v>35807.794000000002</v>
      </c>
      <c r="N54" s="6">
        <f t="shared" si="1"/>
        <v>0.10625273369255867</v>
      </c>
      <c r="O54" s="6" t="str">
        <f t="shared" si="2"/>
        <v>Jul</v>
      </c>
    </row>
    <row r="55" spans="1:15">
      <c r="A55" t="s">
        <v>156</v>
      </c>
      <c r="B55" s="2">
        <v>45667</v>
      </c>
      <c r="C55" t="s">
        <v>94</v>
      </c>
      <c r="D55" t="s">
        <v>50</v>
      </c>
      <c r="E55" t="s">
        <v>40</v>
      </c>
      <c r="F55" t="s">
        <v>41</v>
      </c>
      <c r="G55" s="10">
        <v>2</v>
      </c>
      <c r="H55">
        <v>2385.7199999999998</v>
      </c>
      <c r="I55" s="6">
        <v>0.2</v>
      </c>
      <c r="J55" s="8">
        <v>168.77</v>
      </c>
      <c r="K55" s="4" t="s">
        <v>27</v>
      </c>
      <c r="L55" t="s">
        <v>21</v>
      </c>
      <c r="M55">
        <f t="shared" si="0"/>
        <v>477.14400000000001</v>
      </c>
      <c r="N55" s="6">
        <f t="shared" si="1"/>
        <v>7.0741746726355151E-2</v>
      </c>
      <c r="O55" s="6" t="str">
        <f t="shared" si="2"/>
        <v>Jan</v>
      </c>
    </row>
    <row r="56" spans="1:15">
      <c r="A56" t="s">
        <v>157</v>
      </c>
      <c r="B56" s="2">
        <v>45939</v>
      </c>
      <c r="C56" t="s">
        <v>158</v>
      </c>
      <c r="D56" t="s">
        <v>72</v>
      </c>
      <c r="E56" t="s">
        <v>69</v>
      </c>
      <c r="F56" t="s">
        <v>41</v>
      </c>
      <c r="G56" s="10">
        <v>1</v>
      </c>
      <c r="H56">
        <v>56761.65</v>
      </c>
      <c r="I56" s="6">
        <v>0.1</v>
      </c>
      <c r="J56" s="8">
        <v>11503.17</v>
      </c>
      <c r="K56" s="4" t="s">
        <v>32</v>
      </c>
      <c r="L56" t="s">
        <v>36</v>
      </c>
      <c r="M56">
        <f t="shared" si="0"/>
        <v>5676.1650000000009</v>
      </c>
      <c r="N56" s="6">
        <f t="shared" si="1"/>
        <v>0.2026574280345973</v>
      </c>
      <c r="O56" s="6" t="str">
        <f t="shared" si="2"/>
        <v>Oct</v>
      </c>
    </row>
    <row r="57" spans="1:15">
      <c r="A57" t="s">
        <v>159</v>
      </c>
      <c r="B57" s="2">
        <v>46008</v>
      </c>
      <c r="C57" t="s">
        <v>89</v>
      </c>
      <c r="D57" t="s">
        <v>64</v>
      </c>
      <c r="E57" t="s">
        <v>40</v>
      </c>
      <c r="F57" t="s">
        <v>35</v>
      </c>
      <c r="G57" s="10">
        <v>5</v>
      </c>
      <c r="H57">
        <v>9969.73</v>
      </c>
      <c r="I57" s="6">
        <v>0.2</v>
      </c>
      <c r="J57" s="8">
        <v>1791.44</v>
      </c>
      <c r="K57" s="4" t="s">
        <v>27</v>
      </c>
      <c r="L57" t="s">
        <v>21</v>
      </c>
      <c r="M57">
        <f t="shared" si="0"/>
        <v>1993.9459999999999</v>
      </c>
      <c r="N57" s="6">
        <f t="shared" si="1"/>
        <v>0.17968791531967265</v>
      </c>
      <c r="O57" s="6" t="str">
        <f t="shared" si="2"/>
        <v>Dec</v>
      </c>
    </row>
    <row r="58" spans="1:15">
      <c r="A58" t="s">
        <v>160</v>
      </c>
      <c r="B58" s="2">
        <v>45658</v>
      </c>
      <c r="C58" t="s">
        <v>161</v>
      </c>
      <c r="D58" t="s">
        <v>50</v>
      </c>
      <c r="E58" t="s">
        <v>40</v>
      </c>
      <c r="F58" t="s">
        <v>19</v>
      </c>
      <c r="G58" s="10">
        <v>3</v>
      </c>
      <c r="H58">
        <v>2213.77</v>
      </c>
      <c r="I58" s="6">
        <v>0.15</v>
      </c>
      <c r="J58" s="8">
        <v>228.98</v>
      </c>
      <c r="K58" s="4" t="s">
        <v>27</v>
      </c>
      <c r="L58" t="s">
        <v>21</v>
      </c>
      <c r="M58">
        <f t="shared" si="0"/>
        <v>332.06549999999999</v>
      </c>
      <c r="N58" s="6">
        <f t="shared" si="1"/>
        <v>0.10343441278904313</v>
      </c>
      <c r="O58" s="6" t="str">
        <f t="shared" si="2"/>
        <v>Jan</v>
      </c>
    </row>
    <row r="59" spans="1:15">
      <c r="A59" t="s">
        <v>162</v>
      </c>
      <c r="B59" s="2">
        <v>45775</v>
      </c>
      <c r="C59" t="s">
        <v>163</v>
      </c>
      <c r="D59" t="s">
        <v>95</v>
      </c>
      <c r="E59" t="s">
        <v>76</v>
      </c>
      <c r="F59" t="s">
        <v>77</v>
      </c>
      <c r="G59" s="10">
        <v>3</v>
      </c>
      <c r="H59">
        <v>20508.05</v>
      </c>
      <c r="I59" s="6">
        <v>0.15</v>
      </c>
      <c r="J59" s="8">
        <v>4529.9399999999996</v>
      </c>
      <c r="K59" s="4" t="s">
        <v>32</v>
      </c>
      <c r="L59" t="s">
        <v>21</v>
      </c>
      <c r="M59">
        <f t="shared" si="0"/>
        <v>3076.2075</v>
      </c>
      <c r="N59" s="6">
        <f t="shared" si="1"/>
        <v>0.22088594478753465</v>
      </c>
      <c r="O59" s="6" t="str">
        <f t="shared" si="2"/>
        <v>Apr</v>
      </c>
    </row>
    <row r="60" spans="1:15">
      <c r="A60" t="s">
        <v>164</v>
      </c>
      <c r="B60" s="2">
        <v>45723</v>
      </c>
      <c r="C60" t="s">
        <v>165</v>
      </c>
      <c r="D60" t="s">
        <v>61</v>
      </c>
      <c r="E60" t="s">
        <v>40</v>
      </c>
      <c r="F60" t="s">
        <v>35</v>
      </c>
      <c r="G60" s="10">
        <v>3</v>
      </c>
      <c r="H60">
        <v>1640.63</v>
      </c>
      <c r="I60" s="6">
        <v>0.25</v>
      </c>
      <c r="J60" s="8">
        <v>289.7</v>
      </c>
      <c r="K60" s="4" t="s">
        <v>27</v>
      </c>
      <c r="L60" t="s">
        <v>21</v>
      </c>
      <c r="M60">
        <f t="shared" si="0"/>
        <v>410.15750000000003</v>
      </c>
      <c r="N60" s="6">
        <f t="shared" si="1"/>
        <v>0.17657850947501871</v>
      </c>
      <c r="O60" s="6" t="str">
        <f t="shared" si="2"/>
        <v>Mar</v>
      </c>
    </row>
    <row r="61" spans="1:15">
      <c r="A61" t="s">
        <v>166</v>
      </c>
      <c r="B61" s="2">
        <v>45965</v>
      </c>
      <c r="C61" t="s">
        <v>167</v>
      </c>
      <c r="D61" t="s">
        <v>53</v>
      </c>
      <c r="E61" t="s">
        <v>25</v>
      </c>
      <c r="F61" t="s">
        <v>41</v>
      </c>
      <c r="G61" s="10">
        <v>1</v>
      </c>
      <c r="H61">
        <v>2308.39</v>
      </c>
      <c r="I61" s="6">
        <v>0.15</v>
      </c>
      <c r="J61" s="8">
        <v>287.64</v>
      </c>
      <c r="K61" s="4" t="s">
        <v>20</v>
      </c>
      <c r="L61" t="s">
        <v>21</v>
      </c>
      <c r="M61">
        <f t="shared" si="0"/>
        <v>346.25849999999997</v>
      </c>
      <c r="N61" s="6">
        <f t="shared" si="1"/>
        <v>0.12460632735369673</v>
      </c>
      <c r="O61" s="6" t="str">
        <f t="shared" si="2"/>
        <v>Nov</v>
      </c>
    </row>
    <row r="62" spans="1:15">
      <c r="A62" t="s">
        <v>168</v>
      </c>
      <c r="B62" s="2">
        <v>45930</v>
      </c>
      <c r="C62" t="s">
        <v>141</v>
      </c>
      <c r="D62" t="s">
        <v>126</v>
      </c>
      <c r="E62" t="s">
        <v>76</v>
      </c>
      <c r="F62" t="s">
        <v>107</v>
      </c>
      <c r="G62" s="10">
        <v>4</v>
      </c>
      <c r="H62">
        <v>4673.3500000000004</v>
      </c>
      <c r="I62" s="6">
        <v>0.2</v>
      </c>
      <c r="J62" s="8">
        <v>1289.3900000000001</v>
      </c>
      <c r="K62" s="4" t="s">
        <v>32</v>
      </c>
      <c r="L62" t="s">
        <v>21</v>
      </c>
      <c r="M62">
        <f t="shared" si="0"/>
        <v>934.67000000000007</v>
      </c>
      <c r="N62" s="6">
        <f t="shared" si="1"/>
        <v>0.27590272502594498</v>
      </c>
      <c r="O62" s="6" t="str">
        <f t="shared" si="2"/>
        <v>Sep</v>
      </c>
    </row>
    <row r="63" spans="1:15">
      <c r="A63" t="s">
        <v>169</v>
      </c>
      <c r="B63" s="2">
        <v>45906</v>
      </c>
      <c r="C63" t="s">
        <v>137</v>
      </c>
      <c r="D63" t="s">
        <v>53</v>
      </c>
      <c r="E63" t="s">
        <v>25</v>
      </c>
      <c r="F63" t="s">
        <v>70</v>
      </c>
      <c r="G63" s="10">
        <v>3</v>
      </c>
      <c r="H63">
        <v>2428.84</v>
      </c>
      <c r="I63" s="6">
        <v>0.15</v>
      </c>
      <c r="J63" s="8">
        <v>257.91000000000003</v>
      </c>
      <c r="K63" s="4" t="s">
        <v>32</v>
      </c>
      <c r="L63" t="s">
        <v>21</v>
      </c>
      <c r="M63">
        <f t="shared" si="0"/>
        <v>364.32600000000002</v>
      </c>
      <c r="N63" s="6">
        <f t="shared" si="1"/>
        <v>0.10618649231732021</v>
      </c>
      <c r="O63" s="6" t="str">
        <f t="shared" si="2"/>
        <v>Sep</v>
      </c>
    </row>
    <row r="64" spans="1:15">
      <c r="A64" t="s">
        <v>170</v>
      </c>
      <c r="B64" s="2">
        <v>45708</v>
      </c>
      <c r="C64" t="s">
        <v>171</v>
      </c>
      <c r="D64" t="s">
        <v>124</v>
      </c>
      <c r="E64" t="s">
        <v>76</v>
      </c>
      <c r="F64" t="s">
        <v>107</v>
      </c>
      <c r="G64" s="10">
        <v>3</v>
      </c>
      <c r="H64">
        <v>35385.5</v>
      </c>
      <c r="I64" s="6">
        <v>0.05</v>
      </c>
      <c r="J64" s="8">
        <v>4749.07</v>
      </c>
      <c r="K64" s="4" t="s">
        <v>65</v>
      </c>
      <c r="L64" t="s">
        <v>21</v>
      </c>
      <c r="M64">
        <f t="shared" si="0"/>
        <v>1769.2750000000001</v>
      </c>
      <c r="N64" s="6">
        <f t="shared" si="1"/>
        <v>0.13420949258877224</v>
      </c>
      <c r="O64" s="6" t="str">
        <f t="shared" si="2"/>
        <v>Feb</v>
      </c>
    </row>
    <row r="65" spans="1:15">
      <c r="A65" t="s">
        <v>172</v>
      </c>
      <c r="B65" s="2">
        <v>45691</v>
      </c>
      <c r="C65" t="s">
        <v>173</v>
      </c>
      <c r="D65" t="s">
        <v>45</v>
      </c>
      <c r="E65" t="s">
        <v>18</v>
      </c>
      <c r="F65" t="s">
        <v>31</v>
      </c>
      <c r="G65" s="10">
        <v>1</v>
      </c>
      <c r="H65">
        <v>1690.39</v>
      </c>
      <c r="I65" s="6">
        <v>0.2</v>
      </c>
      <c r="J65" s="8">
        <v>248.58</v>
      </c>
      <c r="K65" s="4" t="s">
        <v>65</v>
      </c>
      <c r="L65" t="s">
        <v>21</v>
      </c>
      <c r="M65">
        <f t="shared" si="0"/>
        <v>338.07800000000003</v>
      </c>
      <c r="N65" s="6">
        <f t="shared" si="1"/>
        <v>0.14705482166837239</v>
      </c>
      <c r="O65" s="6" t="str">
        <f t="shared" si="2"/>
        <v>Feb</v>
      </c>
    </row>
    <row r="66" spans="1:15">
      <c r="A66" t="s">
        <v>174</v>
      </c>
      <c r="B66" s="2">
        <v>45683</v>
      </c>
      <c r="C66" t="s">
        <v>130</v>
      </c>
      <c r="D66" t="s">
        <v>24</v>
      </c>
      <c r="E66" t="s">
        <v>25</v>
      </c>
      <c r="F66" t="s">
        <v>31</v>
      </c>
      <c r="G66" s="10">
        <v>4</v>
      </c>
      <c r="H66">
        <v>16356.58</v>
      </c>
      <c r="I66" s="6">
        <v>0</v>
      </c>
      <c r="J66" s="8">
        <v>2812.53</v>
      </c>
      <c r="K66" s="4" t="s">
        <v>27</v>
      </c>
      <c r="L66" t="s">
        <v>21</v>
      </c>
      <c r="M66">
        <f t="shared" si="0"/>
        <v>0</v>
      </c>
      <c r="N66" s="6">
        <f t="shared" si="1"/>
        <v>0.17195098241808496</v>
      </c>
      <c r="O66" s="6" t="str">
        <f t="shared" si="2"/>
        <v>Jan</v>
      </c>
    </row>
    <row r="67" spans="1:15">
      <c r="A67" t="s">
        <v>175</v>
      </c>
      <c r="B67" s="2">
        <v>45671</v>
      </c>
      <c r="C67" t="s">
        <v>176</v>
      </c>
      <c r="D67" t="s">
        <v>124</v>
      </c>
      <c r="E67" t="s">
        <v>76</v>
      </c>
      <c r="F67" t="s">
        <v>31</v>
      </c>
      <c r="G67" s="10">
        <v>3</v>
      </c>
      <c r="H67">
        <v>11232.91</v>
      </c>
      <c r="I67" s="6">
        <v>0.1</v>
      </c>
      <c r="J67" s="8">
        <v>2881</v>
      </c>
      <c r="K67" s="4" t="s">
        <v>42</v>
      </c>
      <c r="L67" t="s">
        <v>36</v>
      </c>
      <c r="M67">
        <f t="shared" ref="M67:M130" si="3">H67*I67</f>
        <v>1123.2909999999999</v>
      </c>
      <c r="N67" s="6">
        <f t="shared" ref="N67:N130" si="4">IFERROR(J67/H67,0)</f>
        <v>0.25647850824051827</v>
      </c>
      <c r="O67" s="6" t="str">
        <f t="shared" ref="O67:O130" si="5">TEXT(B67,"mmm")</f>
        <v>Jan</v>
      </c>
    </row>
    <row r="68" spans="1:15">
      <c r="A68" t="s">
        <v>177</v>
      </c>
      <c r="B68" s="2">
        <v>45672</v>
      </c>
      <c r="C68" t="s">
        <v>178</v>
      </c>
      <c r="D68" t="s">
        <v>75</v>
      </c>
      <c r="E68" t="s">
        <v>76</v>
      </c>
      <c r="F68" t="s">
        <v>31</v>
      </c>
      <c r="G68" s="10">
        <v>1</v>
      </c>
      <c r="H68">
        <v>9513.52</v>
      </c>
      <c r="I68" s="6">
        <v>0.15</v>
      </c>
      <c r="J68" s="8">
        <v>680.53</v>
      </c>
      <c r="K68" s="4" t="s">
        <v>27</v>
      </c>
      <c r="L68" t="s">
        <v>21</v>
      </c>
      <c r="M68">
        <f t="shared" si="3"/>
        <v>1427.028</v>
      </c>
      <c r="N68" s="6">
        <f t="shared" si="4"/>
        <v>7.1532934182090321E-2</v>
      </c>
      <c r="O68" s="6" t="str">
        <f t="shared" si="5"/>
        <v>Jan</v>
      </c>
    </row>
    <row r="69" spans="1:15">
      <c r="A69" t="s">
        <v>179</v>
      </c>
      <c r="B69" s="2">
        <v>45869</v>
      </c>
      <c r="C69" t="s">
        <v>180</v>
      </c>
      <c r="D69" t="s">
        <v>68</v>
      </c>
      <c r="E69" t="s">
        <v>69</v>
      </c>
      <c r="F69" t="s">
        <v>26</v>
      </c>
      <c r="G69" s="10">
        <v>1</v>
      </c>
      <c r="H69">
        <v>39958.53</v>
      </c>
      <c r="I69" s="6">
        <v>0.1</v>
      </c>
      <c r="J69" s="8">
        <v>8133.87</v>
      </c>
      <c r="K69" s="4" t="s">
        <v>27</v>
      </c>
      <c r="L69" t="s">
        <v>21</v>
      </c>
      <c r="M69">
        <f t="shared" si="3"/>
        <v>3995.8530000000001</v>
      </c>
      <c r="N69" s="6">
        <f t="shared" si="4"/>
        <v>0.20355778853726603</v>
      </c>
      <c r="O69" s="6" t="str">
        <f t="shared" si="5"/>
        <v>Jul</v>
      </c>
    </row>
    <row r="70" spans="1:15">
      <c r="A70" t="s">
        <v>181</v>
      </c>
      <c r="B70" s="2">
        <v>45699</v>
      </c>
      <c r="C70" t="s">
        <v>182</v>
      </c>
      <c r="D70" t="s">
        <v>90</v>
      </c>
      <c r="E70" t="s">
        <v>69</v>
      </c>
      <c r="F70" t="s">
        <v>19</v>
      </c>
      <c r="G70" s="10">
        <v>1</v>
      </c>
      <c r="H70">
        <v>19094.47</v>
      </c>
      <c r="I70" s="6">
        <v>0.15</v>
      </c>
      <c r="J70" s="8">
        <v>3804.97</v>
      </c>
      <c r="K70" s="4" t="s">
        <v>32</v>
      </c>
      <c r="L70" t="s">
        <v>21</v>
      </c>
      <c r="M70">
        <f t="shared" si="3"/>
        <v>2864.1705000000002</v>
      </c>
      <c r="N70" s="6">
        <f t="shared" si="4"/>
        <v>0.19927078363526191</v>
      </c>
      <c r="O70" s="6" t="str">
        <f t="shared" si="5"/>
        <v>Feb</v>
      </c>
    </row>
    <row r="71" spans="1:15">
      <c r="A71" t="s">
        <v>183</v>
      </c>
      <c r="B71" s="2">
        <v>45807</v>
      </c>
      <c r="C71" t="s">
        <v>52</v>
      </c>
      <c r="D71" t="s">
        <v>50</v>
      </c>
      <c r="E71" t="s">
        <v>40</v>
      </c>
      <c r="F71" t="s">
        <v>77</v>
      </c>
      <c r="G71" s="10">
        <v>5</v>
      </c>
      <c r="H71">
        <v>2524.2199999999998</v>
      </c>
      <c r="I71" s="6">
        <v>0.15</v>
      </c>
      <c r="J71" s="8">
        <v>665.55</v>
      </c>
      <c r="K71" s="4" t="s">
        <v>65</v>
      </c>
      <c r="L71" t="s">
        <v>36</v>
      </c>
      <c r="M71">
        <f t="shared" si="3"/>
        <v>378.63299999999998</v>
      </c>
      <c r="N71" s="6">
        <f t="shared" si="4"/>
        <v>0.26366560759363289</v>
      </c>
      <c r="O71" s="6" t="str">
        <f t="shared" si="5"/>
        <v>May</v>
      </c>
    </row>
    <row r="72" spans="1:15">
      <c r="A72" t="s">
        <v>184</v>
      </c>
      <c r="B72" s="2">
        <v>45880</v>
      </c>
      <c r="C72" t="s">
        <v>185</v>
      </c>
      <c r="D72" t="s">
        <v>24</v>
      </c>
      <c r="E72" t="s">
        <v>25</v>
      </c>
      <c r="F72" t="s">
        <v>41</v>
      </c>
      <c r="G72" s="10">
        <v>2</v>
      </c>
      <c r="H72">
        <v>5412.95</v>
      </c>
      <c r="I72" s="6">
        <v>0.1</v>
      </c>
      <c r="J72" s="8">
        <v>1286.81</v>
      </c>
      <c r="K72" s="4" t="s">
        <v>32</v>
      </c>
      <c r="L72" t="s">
        <v>21</v>
      </c>
      <c r="M72">
        <f t="shared" si="3"/>
        <v>541.29499999999996</v>
      </c>
      <c r="N72" s="6">
        <f t="shared" si="4"/>
        <v>0.2377280410866533</v>
      </c>
      <c r="O72" s="6" t="str">
        <f t="shared" si="5"/>
        <v>Aug</v>
      </c>
    </row>
    <row r="73" spans="1:15">
      <c r="A73" t="s">
        <v>186</v>
      </c>
      <c r="B73" s="2">
        <v>45683</v>
      </c>
      <c r="C73" t="s">
        <v>187</v>
      </c>
      <c r="D73" t="s">
        <v>75</v>
      </c>
      <c r="E73" t="s">
        <v>76</v>
      </c>
      <c r="F73" t="s">
        <v>70</v>
      </c>
      <c r="G73" s="10">
        <v>3</v>
      </c>
      <c r="H73">
        <v>30382.67</v>
      </c>
      <c r="I73" s="6">
        <v>0.2</v>
      </c>
      <c r="J73" s="8">
        <v>3287.48</v>
      </c>
      <c r="K73" s="4" t="s">
        <v>42</v>
      </c>
      <c r="L73" t="s">
        <v>21</v>
      </c>
      <c r="M73">
        <f t="shared" si="3"/>
        <v>6076.5339999999997</v>
      </c>
      <c r="N73" s="6">
        <f t="shared" si="4"/>
        <v>0.10820247200130864</v>
      </c>
      <c r="O73" s="6" t="str">
        <f t="shared" si="5"/>
        <v>Jan</v>
      </c>
    </row>
    <row r="74" spans="1:15">
      <c r="A74" t="s">
        <v>188</v>
      </c>
      <c r="B74" s="2">
        <v>45658</v>
      </c>
      <c r="C74" t="s">
        <v>150</v>
      </c>
      <c r="D74" t="s">
        <v>90</v>
      </c>
      <c r="E74" t="s">
        <v>69</v>
      </c>
      <c r="F74" t="s">
        <v>26</v>
      </c>
      <c r="G74" s="10">
        <v>2</v>
      </c>
      <c r="H74">
        <v>75137.17</v>
      </c>
      <c r="I74" s="6">
        <v>0.25</v>
      </c>
      <c r="J74" s="8">
        <v>15155.01</v>
      </c>
      <c r="K74" s="4" t="s">
        <v>20</v>
      </c>
      <c r="L74" t="s">
        <v>21</v>
      </c>
      <c r="M74">
        <f t="shared" si="3"/>
        <v>18784.2925</v>
      </c>
      <c r="N74" s="6">
        <f t="shared" si="4"/>
        <v>0.20169790797284487</v>
      </c>
      <c r="O74" s="6" t="str">
        <f t="shared" si="5"/>
        <v>Jan</v>
      </c>
    </row>
    <row r="75" spans="1:15">
      <c r="A75" t="s">
        <v>189</v>
      </c>
      <c r="B75" s="2">
        <v>45918</v>
      </c>
      <c r="C75" t="s">
        <v>190</v>
      </c>
      <c r="D75" t="s">
        <v>191</v>
      </c>
      <c r="E75" t="s">
        <v>69</v>
      </c>
      <c r="F75" t="s">
        <v>31</v>
      </c>
      <c r="G75" s="10">
        <v>2</v>
      </c>
      <c r="H75">
        <v>102968.72</v>
      </c>
      <c r="I75" s="6">
        <v>0.2</v>
      </c>
      <c r="J75" s="8">
        <v>23383.27</v>
      </c>
      <c r="K75" s="4" t="s">
        <v>20</v>
      </c>
      <c r="L75" t="s">
        <v>36</v>
      </c>
      <c r="M75">
        <f t="shared" si="3"/>
        <v>20593.744000000002</v>
      </c>
      <c r="N75" s="6">
        <f t="shared" si="4"/>
        <v>0.22709100394760662</v>
      </c>
      <c r="O75" s="6" t="str">
        <f t="shared" si="5"/>
        <v>Sep</v>
      </c>
    </row>
    <row r="76" spans="1:15">
      <c r="A76" t="s">
        <v>192</v>
      </c>
      <c r="B76" s="2">
        <v>45695</v>
      </c>
      <c r="C76" t="s">
        <v>60</v>
      </c>
      <c r="D76" t="s">
        <v>72</v>
      </c>
      <c r="E76" t="s">
        <v>69</v>
      </c>
      <c r="F76" t="s">
        <v>35</v>
      </c>
      <c r="G76" s="10">
        <v>3</v>
      </c>
      <c r="H76">
        <v>69592.03</v>
      </c>
      <c r="I76" s="6">
        <v>0</v>
      </c>
      <c r="J76" s="8">
        <v>16515.650000000001</v>
      </c>
      <c r="K76" s="4" t="s">
        <v>20</v>
      </c>
      <c r="L76" t="s">
        <v>21</v>
      </c>
      <c r="M76">
        <f t="shared" si="3"/>
        <v>0</v>
      </c>
      <c r="N76" s="6">
        <f t="shared" si="4"/>
        <v>0.23732099782115856</v>
      </c>
      <c r="O76" s="6" t="str">
        <f t="shared" si="5"/>
        <v>Feb</v>
      </c>
    </row>
    <row r="77" spans="1:15">
      <c r="A77" t="s">
        <v>193</v>
      </c>
      <c r="B77" s="2">
        <v>45692</v>
      </c>
      <c r="C77" t="s">
        <v>194</v>
      </c>
      <c r="D77" t="s">
        <v>191</v>
      </c>
      <c r="E77" t="s">
        <v>69</v>
      </c>
      <c r="F77" t="s">
        <v>70</v>
      </c>
      <c r="G77" s="10">
        <v>1</v>
      </c>
      <c r="H77">
        <v>36284.959999999999</v>
      </c>
      <c r="I77" s="6">
        <v>0.25</v>
      </c>
      <c r="J77" s="8">
        <v>2152.4299999999998</v>
      </c>
      <c r="K77" s="4" t="s">
        <v>65</v>
      </c>
      <c r="L77" t="s">
        <v>21</v>
      </c>
      <c r="M77">
        <f t="shared" si="3"/>
        <v>9071.24</v>
      </c>
      <c r="N77" s="6">
        <f t="shared" si="4"/>
        <v>5.9320170120071784E-2</v>
      </c>
      <c r="O77" s="6" t="str">
        <f t="shared" si="5"/>
        <v>Feb</v>
      </c>
    </row>
    <row r="78" spans="1:15">
      <c r="A78" t="s">
        <v>195</v>
      </c>
      <c r="B78" s="2">
        <v>45662</v>
      </c>
      <c r="C78" t="s">
        <v>196</v>
      </c>
      <c r="D78" t="s">
        <v>84</v>
      </c>
      <c r="E78" t="s">
        <v>18</v>
      </c>
      <c r="F78" t="s">
        <v>35</v>
      </c>
      <c r="G78" s="10">
        <v>3</v>
      </c>
      <c r="H78">
        <v>7774.09</v>
      </c>
      <c r="I78" s="6">
        <v>0.05</v>
      </c>
      <c r="J78" s="8">
        <v>2076.3200000000002</v>
      </c>
      <c r="K78" s="4" t="s">
        <v>65</v>
      </c>
      <c r="L78" t="s">
        <v>21</v>
      </c>
      <c r="M78">
        <f t="shared" si="3"/>
        <v>388.70450000000005</v>
      </c>
      <c r="N78" s="6">
        <f t="shared" si="4"/>
        <v>0.26708206362416698</v>
      </c>
      <c r="O78" s="6" t="str">
        <f t="shared" si="5"/>
        <v>Jan</v>
      </c>
    </row>
    <row r="79" spans="1:15">
      <c r="A79" t="s">
        <v>197</v>
      </c>
      <c r="B79" s="2">
        <v>46010</v>
      </c>
      <c r="C79" t="s">
        <v>198</v>
      </c>
      <c r="D79" t="s">
        <v>24</v>
      </c>
      <c r="E79" t="s">
        <v>25</v>
      </c>
      <c r="F79" t="s">
        <v>107</v>
      </c>
      <c r="G79" s="10">
        <v>1</v>
      </c>
      <c r="H79">
        <v>1391.4</v>
      </c>
      <c r="I79" s="6">
        <v>0</v>
      </c>
      <c r="J79" s="8">
        <v>201.55</v>
      </c>
      <c r="K79" s="4" t="s">
        <v>32</v>
      </c>
      <c r="L79" t="s">
        <v>21</v>
      </c>
      <c r="M79">
        <f t="shared" si="3"/>
        <v>0</v>
      </c>
      <c r="N79" s="6">
        <f t="shared" si="4"/>
        <v>0.14485410378036509</v>
      </c>
      <c r="O79" s="6" t="str">
        <f t="shared" si="5"/>
        <v>Dec</v>
      </c>
    </row>
    <row r="80" spans="1:15">
      <c r="A80" t="s">
        <v>199</v>
      </c>
      <c r="B80" s="2">
        <v>45699</v>
      </c>
      <c r="C80" t="s">
        <v>200</v>
      </c>
      <c r="D80" t="s">
        <v>53</v>
      </c>
      <c r="E80" t="s">
        <v>25</v>
      </c>
      <c r="F80" t="s">
        <v>70</v>
      </c>
      <c r="G80" s="10">
        <v>4</v>
      </c>
      <c r="H80">
        <v>12902.14</v>
      </c>
      <c r="I80" s="6">
        <v>0.2</v>
      </c>
      <c r="J80" s="8">
        <v>2055.7600000000002</v>
      </c>
      <c r="K80" s="4" t="s">
        <v>42</v>
      </c>
      <c r="L80" t="s">
        <v>21</v>
      </c>
      <c r="M80">
        <f t="shared" si="3"/>
        <v>2580.4279999999999</v>
      </c>
      <c r="N80" s="6">
        <f t="shared" si="4"/>
        <v>0.15933480802409525</v>
      </c>
      <c r="O80" s="6" t="str">
        <f t="shared" si="5"/>
        <v>Feb</v>
      </c>
    </row>
    <row r="81" spans="1:15">
      <c r="A81" t="s">
        <v>201</v>
      </c>
      <c r="B81" s="2">
        <v>45946</v>
      </c>
      <c r="C81" t="s">
        <v>202</v>
      </c>
      <c r="D81" t="s">
        <v>68</v>
      </c>
      <c r="E81" t="s">
        <v>69</v>
      </c>
      <c r="F81" t="s">
        <v>77</v>
      </c>
      <c r="G81" s="10">
        <v>4</v>
      </c>
      <c r="H81">
        <v>142070.29</v>
      </c>
      <c r="I81" s="6">
        <v>0.05</v>
      </c>
      <c r="J81" s="8">
        <v>22516.79</v>
      </c>
      <c r="K81" s="4" t="s">
        <v>20</v>
      </c>
      <c r="L81" t="s">
        <v>36</v>
      </c>
      <c r="M81">
        <f t="shared" si="3"/>
        <v>7103.5145000000011</v>
      </c>
      <c r="N81" s="6">
        <f t="shared" si="4"/>
        <v>0.15849049086899167</v>
      </c>
      <c r="O81" s="6" t="str">
        <f t="shared" si="5"/>
        <v>Oct</v>
      </c>
    </row>
    <row r="82" spans="1:15">
      <c r="A82" t="s">
        <v>203</v>
      </c>
      <c r="B82" s="2">
        <v>45841</v>
      </c>
      <c r="C82" t="s">
        <v>204</v>
      </c>
      <c r="D82" t="s">
        <v>17</v>
      </c>
      <c r="E82" t="s">
        <v>18</v>
      </c>
      <c r="F82" t="s">
        <v>35</v>
      </c>
      <c r="G82" s="10">
        <v>5</v>
      </c>
      <c r="H82">
        <v>9005.8799999999992</v>
      </c>
      <c r="I82" s="6">
        <v>0.2</v>
      </c>
      <c r="J82" s="8">
        <v>914.5</v>
      </c>
      <c r="K82" s="4" t="s">
        <v>32</v>
      </c>
      <c r="L82" t="s">
        <v>21</v>
      </c>
      <c r="M82">
        <f t="shared" si="3"/>
        <v>1801.1759999999999</v>
      </c>
      <c r="N82" s="6">
        <f t="shared" si="4"/>
        <v>0.1015447685290055</v>
      </c>
      <c r="O82" s="6" t="str">
        <f t="shared" si="5"/>
        <v>Jul</v>
      </c>
    </row>
    <row r="83" spans="1:15">
      <c r="A83" t="s">
        <v>205</v>
      </c>
      <c r="B83" s="2">
        <v>45939</v>
      </c>
      <c r="C83" t="s">
        <v>185</v>
      </c>
      <c r="D83" t="s">
        <v>87</v>
      </c>
      <c r="E83" t="s">
        <v>25</v>
      </c>
      <c r="F83" t="s">
        <v>77</v>
      </c>
      <c r="G83" s="10">
        <v>3</v>
      </c>
      <c r="H83">
        <v>7944.37</v>
      </c>
      <c r="I83" s="6">
        <v>0.15</v>
      </c>
      <c r="J83" s="8">
        <v>664.26</v>
      </c>
      <c r="K83" s="4" t="s">
        <v>27</v>
      </c>
      <c r="L83" t="s">
        <v>21</v>
      </c>
      <c r="M83">
        <f t="shared" si="3"/>
        <v>1191.6554999999998</v>
      </c>
      <c r="N83" s="6">
        <f t="shared" si="4"/>
        <v>8.3613930368298561E-2</v>
      </c>
      <c r="O83" s="6" t="str">
        <f t="shared" si="5"/>
        <v>Oct</v>
      </c>
    </row>
    <row r="84" spans="1:15">
      <c r="A84" t="s">
        <v>206</v>
      </c>
      <c r="B84" s="2">
        <v>45761</v>
      </c>
      <c r="C84" t="s">
        <v>207</v>
      </c>
      <c r="D84" t="s">
        <v>45</v>
      </c>
      <c r="E84" t="s">
        <v>18</v>
      </c>
      <c r="F84" t="s">
        <v>19</v>
      </c>
      <c r="G84" s="10">
        <v>2</v>
      </c>
      <c r="H84">
        <v>4289.99</v>
      </c>
      <c r="I84" s="6">
        <v>0.15</v>
      </c>
      <c r="J84" s="8">
        <v>885.3</v>
      </c>
      <c r="K84" s="4" t="s">
        <v>42</v>
      </c>
      <c r="L84" t="s">
        <v>21</v>
      </c>
      <c r="M84">
        <f t="shared" si="3"/>
        <v>643.49849999999992</v>
      </c>
      <c r="N84" s="6">
        <f t="shared" si="4"/>
        <v>0.20636411739887506</v>
      </c>
      <c r="O84" s="6" t="str">
        <f t="shared" si="5"/>
        <v>Apr</v>
      </c>
    </row>
    <row r="85" spans="1:15">
      <c r="A85" t="s">
        <v>208</v>
      </c>
      <c r="B85" s="2">
        <v>45944</v>
      </c>
      <c r="C85" t="s">
        <v>148</v>
      </c>
      <c r="D85" t="s">
        <v>39</v>
      </c>
      <c r="E85" t="s">
        <v>40</v>
      </c>
      <c r="F85" t="s">
        <v>77</v>
      </c>
      <c r="G85" s="10">
        <v>2</v>
      </c>
      <c r="H85">
        <v>729.13</v>
      </c>
      <c r="I85" s="6">
        <v>0.1</v>
      </c>
      <c r="J85" s="8">
        <v>149.21</v>
      </c>
      <c r="K85" s="4" t="s">
        <v>32</v>
      </c>
      <c r="L85" t="s">
        <v>21</v>
      </c>
      <c r="M85">
        <f t="shared" si="3"/>
        <v>72.912999999999997</v>
      </c>
      <c r="N85" s="6">
        <f t="shared" si="4"/>
        <v>0.20464114766913993</v>
      </c>
      <c r="O85" s="6" t="str">
        <f t="shared" si="5"/>
        <v>Oct</v>
      </c>
    </row>
    <row r="86" spans="1:15">
      <c r="A86" t="s">
        <v>209</v>
      </c>
      <c r="B86" s="2">
        <v>45767</v>
      </c>
      <c r="C86" t="s">
        <v>145</v>
      </c>
      <c r="D86" t="s">
        <v>61</v>
      </c>
      <c r="E86" t="s">
        <v>40</v>
      </c>
      <c r="F86" t="s">
        <v>70</v>
      </c>
      <c r="G86" s="10">
        <v>4</v>
      </c>
      <c r="H86">
        <v>2121.96</v>
      </c>
      <c r="I86" s="6">
        <v>0</v>
      </c>
      <c r="J86" s="8">
        <v>298.38</v>
      </c>
      <c r="K86" s="4" t="s">
        <v>20</v>
      </c>
      <c r="L86" t="s">
        <v>21</v>
      </c>
      <c r="M86">
        <f t="shared" si="3"/>
        <v>0</v>
      </c>
      <c r="N86" s="6">
        <f t="shared" si="4"/>
        <v>0.14061528021263359</v>
      </c>
      <c r="O86" s="6" t="str">
        <f t="shared" si="5"/>
        <v>Apr</v>
      </c>
    </row>
    <row r="87" spans="1:15">
      <c r="A87" t="s">
        <v>210</v>
      </c>
      <c r="B87" s="2">
        <v>45970</v>
      </c>
      <c r="C87" t="s">
        <v>204</v>
      </c>
      <c r="D87" t="s">
        <v>50</v>
      </c>
      <c r="E87" t="s">
        <v>40</v>
      </c>
      <c r="F87" t="s">
        <v>70</v>
      </c>
      <c r="G87" s="10">
        <v>5</v>
      </c>
      <c r="H87">
        <v>7237.68</v>
      </c>
      <c r="I87" s="6">
        <v>0.1</v>
      </c>
      <c r="J87" s="8">
        <v>1057.43</v>
      </c>
      <c r="K87" s="4" t="s">
        <v>27</v>
      </c>
      <c r="L87" t="s">
        <v>21</v>
      </c>
      <c r="M87">
        <f t="shared" si="3"/>
        <v>723.76800000000003</v>
      </c>
      <c r="N87" s="6">
        <f t="shared" si="4"/>
        <v>0.14610068419714606</v>
      </c>
      <c r="O87" s="6" t="str">
        <f t="shared" si="5"/>
        <v>Nov</v>
      </c>
    </row>
    <row r="88" spans="1:15">
      <c r="A88" t="s">
        <v>211</v>
      </c>
      <c r="B88" s="2">
        <v>45674</v>
      </c>
      <c r="C88" t="s">
        <v>212</v>
      </c>
      <c r="D88" t="s">
        <v>146</v>
      </c>
      <c r="E88" t="s">
        <v>25</v>
      </c>
      <c r="F88" t="s">
        <v>31</v>
      </c>
      <c r="G88" s="10">
        <v>3</v>
      </c>
      <c r="H88">
        <v>1226.82</v>
      </c>
      <c r="I88" s="6">
        <v>0.1</v>
      </c>
      <c r="J88" s="8">
        <v>127.51</v>
      </c>
      <c r="K88" s="4" t="s">
        <v>42</v>
      </c>
      <c r="L88" t="s">
        <v>21</v>
      </c>
      <c r="M88">
        <f t="shared" si="3"/>
        <v>122.682</v>
      </c>
      <c r="N88" s="6">
        <f t="shared" si="4"/>
        <v>0.10393537764301203</v>
      </c>
      <c r="O88" s="6" t="str">
        <f t="shared" si="5"/>
        <v>Jan</v>
      </c>
    </row>
    <row r="89" spans="1:15">
      <c r="A89" t="s">
        <v>213</v>
      </c>
      <c r="B89" s="2">
        <v>45720</v>
      </c>
      <c r="C89" t="s">
        <v>214</v>
      </c>
      <c r="D89" t="s">
        <v>68</v>
      </c>
      <c r="E89" t="s">
        <v>69</v>
      </c>
      <c r="F89" t="s">
        <v>41</v>
      </c>
      <c r="G89" s="10">
        <v>3</v>
      </c>
      <c r="H89">
        <v>105547.99</v>
      </c>
      <c r="I89" s="6">
        <v>0.15</v>
      </c>
      <c r="J89" s="8">
        <v>11207.38</v>
      </c>
      <c r="K89" s="4" t="s">
        <v>42</v>
      </c>
      <c r="L89" t="s">
        <v>21</v>
      </c>
      <c r="M89">
        <f t="shared" si="3"/>
        <v>15832.1985</v>
      </c>
      <c r="N89" s="6">
        <f t="shared" si="4"/>
        <v>0.1061827894590887</v>
      </c>
      <c r="O89" s="6" t="str">
        <f t="shared" si="5"/>
        <v>Mar</v>
      </c>
    </row>
    <row r="90" spans="1:15">
      <c r="A90" t="s">
        <v>215</v>
      </c>
      <c r="B90" s="2">
        <v>45846</v>
      </c>
      <c r="C90" t="s">
        <v>216</v>
      </c>
      <c r="D90" t="s">
        <v>217</v>
      </c>
      <c r="E90" t="s">
        <v>18</v>
      </c>
      <c r="F90" t="s">
        <v>19</v>
      </c>
      <c r="G90" s="10">
        <v>1</v>
      </c>
      <c r="H90">
        <v>1070.77</v>
      </c>
      <c r="I90" s="6">
        <v>0.2</v>
      </c>
      <c r="J90" s="8">
        <v>160.97999999999999</v>
      </c>
      <c r="K90" s="4" t="s">
        <v>32</v>
      </c>
      <c r="L90" t="s">
        <v>36</v>
      </c>
      <c r="M90">
        <f t="shared" si="3"/>
        <v>214.154</v>
      </c>
      <c r="N90" s="6">
        <f t="shared" si="4"/>
        <v>0.15034040923821174</v>
      </c>
      <c r="O90" s="6" t="str">
        <f t="shared" si="5"/>
        <v>Jul</v>
      </c>
    </row>
    <row r="91" spans="1:15">
      <c r="A91" t="s">
        <v>218</v>
      </c>
      <c r="B91" s="2">
        <v>45943</v>
      </c>
      <c r="C91" t="s">
        <v>109</v>
      </c>
      <c r="D91" t="s">
        <v>50</v>
      </c>
      <c r="E91" t="s">
        <v>40</v>
      </c>
      <c r="F91" t="s">
        <v>77</v>
      </c>
      <c r="G91" s="10">
        <v>3</v>
      </c>
      <c r="H91">
        <v>895.15</v>
      </c>
      <c r="I91" s="6">
        <v>0.25</v>
      </c>
      <c r="J91" s="8">
        <v>193.34</v>
      </c>
      <c r="K91" s="4" t="s">
        <v>42</v>
      </c>
      <c r="L91" t="s">
        <v>21</v>
      </c>
      <c r="M91">
        <f t="shared" si="3"/>
        <v>223.78749999999999</v>
      </c>
      <c r="N91" s="6">
        <f t="shared" si="4"/>
        <v>0.21598614757303247</v>
      </c>
      <c r="O91" s="6" t="str">
        <f t="shared" si="5"/>
        <v>Oct</v>
      </c>
    </row>
    <row r="92" spans="1:15">
      <c r="A92" t="s">
        <v>219</v>
      </c>
      <c r="B92" s="2">
        <v>45921</v>
      </c>
      <c r="C92" t="s">
        <v>220</v>
      </c>
      <c r="D92" t="s">
        <v>87</v>
      </c>
      <c r="E92" t="s">
        <v>25</v>
      </c>
      <c r="F92" t="s">
        <v>77</v>
      </c>
      <c r="G92" s="10">
        <v>5</v>
      </c>
      <c r="H92">
        <v>2946.9</v>
      </c>
      <c r="I92" s="6">
        <v>0.1</v>
      </c>
      <c r="J92" s="8">
        <v>445.86</v>
      </c>
      <c r="K92" s="4" t="s">
        <v>27</v>
      </c>
      <c r="L92" t="s">
        <v>21</v>
      </c>
      <c r="M92">
        <f t="shared" si="3"/>
        <v>294.69</v>
      </c>
      <c r="N92" s="6">
        <f t="shared" si="4"/>
        <v>0.15129797414231905</v>
      </c>
      <c r="O92" s="6" t="str">
        <f t="shared" si="5"/>
        <v>Sep</v>
      </c>
    </row>
    <row r="93" spans="1:15">
      <c r="A93" t="s">
        <v>221</v>
      </c>
      <c r="B93" s="2">
        <v>46006</v>
      </c>
      <c r="C93" t="s">
        <v>222</v>
      </c>
      <c r="D93" t="s">
        <v>45</v>
      </c>
      <c r="E93" t="s">
        <v>18</v>
      </c>
      <c r="F93" t="s">
        <v>107</v>
      </c>
      <c r="G93" s="10">
        <v>1</v>
      </c>
      <c r="H93">
        <v>2066.89</v>
      </c>
      <c r="I93" s="6">
        <v>0.1</v>
      </c>
      <c r="J93" s="8">
        <v>214.88</v>
      </c>
      <c r="K93" s="4" t="s">
        <v>65</v>
      </c>
      <c r="L93" t="s">
        <v>21</v>
      </c>
      <c r="M93">
        <f t="shared" si="3"/>
        <v>206.68899999999999</v>
      </c>
      <c r="N93" s="6">
        <f t="shared" si="4"/>
        <v>0.10396295884154455</v>
      </c>
      <c r="O93" s="6" t="str">
        <f t="shared" si="5"/>
        <v>Dec</v>
      </c>
    </row>
    <row r="94" spans="1:15">
      <c r="A94" t="s">
        <v>223</v>
      </c>
      <c r="B94" s="2">
        <v>45749</v>
      </c>
      <c r="C94" t="s">
        <v>224</v>
      </c>
      <c r="D94" t="s">
        <v>53</v>
      </c>
      <c r="E94" t="s">
        <v>25</v>
      </c>
      <c r="F94" t="s">
        <v>19</v>
      </c>
      <c r="G94" s="10">
        <v>2</v>
      </c>
      <c r="H94">
        <v>6127.47</v>
      </c>
      <c r="I94" s="6">
        <v>0.25</v>
      </c>
      <c r="J94" s="8">
        <v>1105.58</v>
      </c>
      <c r="K94" s="4" t="s">
        <v>42</v>
      </c>
      <c r="L94" t="s">
        <v>21</v>
      </c>
      <c r="M94">
        <f t="shared" si="3"/>
        <v>1531.8675000000001</v>
      </c>
      <c r="N94" s="6">
        <f t="shared" si="4"/>
        <v>0.18043009594498216</v>
      </c>
      <c r="O94" s="6" t="str">
        <f t="shared" si="5"/>
        <v>Apr</v>
      </c>
    </row>
    <row r="95" spans="1:15">
      <c r="A95" t="s">
        <v>225</v>
      </c>
      <c r="B95" s="2">
        <v>45987</v>
      </c>
      <c r="C95" t="s">
        <v>226</v>
      </c>
      <c r="D95" t="s">
        <v>39</v>
      </c>
      <c r="E95" t="s">
        <v>40</v>
      </c>
      <c r="F95" t="s">
        <v>107</v>
      </c>
      <c r="G95" s="10">
        <v>1</v>
      </c>
      <c r="H95">
        <v>645.97</v>
      </c>
      <c r="I95" s="6">
        <v>0.1</v>
      </c>
      <c r="J95" s="8">
        <v>46.48</v>
      </c>
      <c r="K95" s="4" t="s">
        <v>42</v>
      </c>
      <c r="L95" t="s">
        <v>21</v>
      </c>
      <c r="M95">
        <f t="shared" si="3"/>
        <v>64.597000000000008</v>
      </c>
      <c r="N95" s="6">
        <f t="shared" si="4"/>
        <v>7.1953805904298951E-2</v>
      </c>
      <c r="O95" s="6" t="str">
        <f t="shared" si="5"/>
        <v>Nov</v>
      </c>
    </row>
    <row r="96" spans="1:15">
      <c r="A96" t="s">
        <v>227</v>
      </c>
      <c r="B96" s="2">
        <v>45668</v>
      </c>
      <c r="C96" t="s">
        <v>228</v>
      </c>
      <c r="D96" t="s">
        <v>114</v>
      </c>
      <c r="E96" t="s">
        <v>69</v>
      </c>
      <c r="F96" t="s">
        <v>107</v>
      </c>
      <c r="G96" s="10">
        <v>2</v>
      </c>
      <c r="H96">
        <v>96789.4</v>
      </c>
      <c r="I96" s="6">
        <v>0.1</v>
      </c>
      <c r="J96" s="8">
        <v>19274.87</v>
      </c>
      <c r="K96" s="4" t="s">
        <v>20</v>
      </c>
      <c r="L96" t="s">
        <v>21</v>
      </c>
      <c r="M96">
        <f t="shared" si="3"/>
        <v>9678.94</v>
      </c>
      <c r="N96" s="6">
        <f t="shared" si="4"/>
        <v>0.19914236476308356</v>
      </c>
      <c r="O96" s="6" t="str">
        <f t="shared" si="5"/>
        <v>Jan</v>
      </c>
    </row>
    <row r="97" spans="1:15">
      <c r="A97" t="s">
        <v>229</v>
      </c>
      <c r="B97" s="2">
        <v>46012</v>
      </c>
      <c r="C97" t="s">
        <v>230</v>
      </c>
      <c r="D97" t="s">
        <v>191</v>
      </c>
      <c r="E97" t="s">
        <v>69</v>
      </c>
      <c r="F97" t="s">
        <v>19</v>
      </c>
      <c r="G97" s="10">
        <v>4</v>
      </c>
      <c r="H97">
        <v>215444.18</v>
      </c>
      <c r="I97" s="6">
        <v>0.15</v>
      </c>
      <c r="J97" s="8">
        <v>16392.32</v>
      </c>
      <c r="K97" s="4" t="s">
        <v>32</v>
      </c>
      <c r="L97" t="s">
        <v>21</v>
      </c>
      <c r="M97">
        <f t="shared" si="3"/>
        <v>32316.626999999997</v>
      </c>
      <c r="N97" s="6">
        <f t="shared" si="4"/>
        <v>7.6086158372901974E-2</v>
      </c>
      <c r="O97" s="6" t="str">
        <f t="shared" si="5"/>
        <v>Dec</v>
      </c>
    </row>
    <row r="98" spans="1:15">
      <c r="A98" t="s">
        <v>231</v>
      </c>
      <c r="B98" s="2">
        <v>45866</v>
      </c>
      <c r="C98" t="s">
        <v>178</v>
      </c>
      <c r="D98" t="s">
        <v>191</v>
      </c>
      <c r="E98" t="s">
        <v>69</v>
      </c>
      <c r="F98" t="s">
        <v>77</v>
      </c>
      <c r="G98" s="10">
        <v>1</v>
      </c>
      <c r="H98">
        <v>28458.33</v>
      </c>
      <c r="I98" s="6">
        <v>0.2</v>
      </c>
      <c r="J98" s="8">
        <v>4548.78</v>
      </c>
      <c r="K98" s="4" t="s">
        <v>32</v>
      </c>
      <c r="L98" t="s">
        <v>21</v>
      </c>
      <c r="M98">
        <f t="shared" si="3"/>
        <v>5691.6660000000011</v>
      </c>
      <c r="N98" s="6">
        <f t="shared" si="4"/>
        <v>0.15984001872211051</v>
      </c>
      <c r="O98" s="6" t="str">
        <f t="shared" si="5"/>
        <v>Jul</v>
      </c>
    </row>
    <row r="99" spans="1:15">
      <c r="A99" t="s">
        <v>232</v>
      </c>
      <c r="B99" s="2">
        <v>45766</v>
      </c>
      <c r="C99" t="s">
        <v>214</v>
      </c>
      <c r="D99" t="s">
        <v>95</v>
      </c>
      <c r="E99" t="s">
        <v>76</v>
      </c>
      <c r="F99" t="s">
        <v>35</v>
      </c>
      <c r="G99" s="10">
        <v>2</v>
      </c>
      <c r="H99">
        <v>8007.22</v>
      </c>
      <c r="I99" s="6">
        <v>0.1</v>
      </c>
      <c r="J99" s="8">
        <v>1919.99</v>
      </c>
      <c r="K99" s="4" t="s">
        <v>42</v>
      </c>
      <c r="L99" t="s">
        <v>21</v>
      </c>
      <c r="M99">
        <f t="shared" si="3"/>
        <v>800.72200000000009</v>
      </c>
      <c r="N99" s="6">
        <f t="shared" si="4"/>
        <v>0.23978234643234481</v>
      </c>
      <c r="O99" s="6" t="str">
        <f t="shared" si="5"/>
        <v>Apr</v>
      </c>
    </row>
    <row r="100" spans="1:15">
      <c r="A100" t="s">
        <v>233</v>
      </c>
      <c r="B100" s="2">
        <v>45810</v>
      </c>
      <c r="C100" t="s">
        <v>196</v>
      </c>
      <c r="D100" t="s">
        <v>126</v>
      </c>
      <c r="E100" t="s">
        <v>76</v>
      </c>
      <c r="F100" t="s">
        <v>41</v>
      </c>
      <c r="G100" s="10">
        <v>2</v>
      </c>
      <c r="H100">
        <v>17508.7</v>
      </c>
      <c r="I100" s="6">
        <v>0.2</v>
      </c>
      <c r="J100" s="8">
        <v>1347.18</v>
      </c>
      <c r="K100" s="4" t="s">
        <v>32</v>
      </c>
      <c r="L100" t="s">
        <v>21</v>
      </c>
      <c r="M100">
        <f t="shared" si="3"/>
        <v>3501.7400000000002</v>
      </c>
      <c r="N100" s="6">
        <f t="shared" si="4"/>
        <v>7.6943462392981776E-2</v>
      </c>
      <c r="O100" s="6" t="str">
        <f t="shared" si="5"/>
        <v>Jun</v>
      </c>
    </row>
    <row r="101" spans="1:15">
      <c r="A101" t="s">
        <v>234</v>
      </c>
      <c r="B101" s="2">
        <v>45830</v>
      </c>
      <c r="C101" t="s">
        <v>230</v>
      </c>
      <c r="D101" t="s">
        <v>17</v>
      </c>
      <c r="E101" t="s">
        <v>18</v>
      </c>
      <c r="F101" t="s">
        <v>35</v>
      </c>
      <c r="G101" s="10">
        <v>1</v>
      </c>
      <c r="H101">
        <v>1522.63</v>
      </c>
      <c r="I101" s="6">
        <v>0.15</v>
      </c>
      <c r="J101" s="8">
        <v>354.35</v>
      </c>
      <c r="K101" s="4" t="s">
        <v>42</v>
      </c>
      <c r="L101" t="s">
        <v>21</v>
      </c>
      <c r="M101">
        <f t="shared" si="3"/>
        <v>228.39450000000002</v>
      </c>
      <c r="N101" s="6">
        <f t="shared" si="4"/>
        <v>0.23272232912789056</v>
      </c>
      <c r="O101" s="6" t="str">
        <f t="shared" si="5"/>
        <v>Jun</v>
      </c>
    </row>
    <row r="102" spans="1:15">
      <c r="A102" t="s">
        <v>235</v>
      </c>
      <c r="B102" s="2">
        <v>45949</v>
      </c>
      <c r="C102" t="s">
        <v>139</v>
      </c>
      <c r="D102" t="s">
        <v>72</v>
      </c>
      <c r="E102" t="s">
        <v>69</v>
      </c>
      <c r="F102" t="s">
        <v>26</v>
      </c>
      <c r="G102" s="10">
        <v>3</v>
      </c>
      <c r="H102">
        <v>39723.39</v>
      </c>
      <c r="I102" s="6">
        <v>0.2</v>
      </c>
      <c r="J102" s="8">
        <v>9798.5499999999993</v>
      </c>
      <c r="K102" s="4" t="s">
        <v>65</v>
      </c>
      <c r="L102" t="s">
        <v>21</v>
      </c>
      <c r="M102">
        <f t="shared" si="3"/>
        <v>7944.6779999999999</v>
      </c>
      <c r="N102" s="6">
        <f t="shared" si="4"/>
        <v>0.24666953147755011</v>
      </c>
      <c r="O102" s="6" t="str">
        <f t="shared" si="5"/>
        <v>Oct</v>
      </c>
    </row>
    <row r="103" spans="1:15">
      <c r="A103" t="s">
        <v>236</v>
      </c>
      <c r="B103" s="2">
        <v>45768</v>
      </c>
      <c r="C103" t="s">
        <v>237</v>
      </c>
      <c r="D103" t="s">
        <v>146</v>
      </c>
      <c r="E103" t="s">
        <v>25</v>
      </c>
      <c r="F103" t="s">
        <v>70</v>
      </c>
      <c r="G103" s="10">
        <v>5</v>
      </c>
      <c r="H103">
        <v>12224.83</v>
      </c>
      <c r="I103" s="6">
        <v>0.05</v>
      </c>
      <c r="J103" s="8">
        <v>933.61</v>
      </c>
      <c r="K103" s="4" t="s">
        <v>42</v>
      </c>
      <c r="L103" t="s">
        <v>36</v>
      </c>
      <c r="M103">
        <f t="shared" si="3"/>
        <v>611.24149999999997</v>
      </c>
      <c r="N103" s="6">
        <f t="shared" si="4"/>
        <v>7.6369978151025419E-2</v>
      </c>
      <c r="O103" s="6" t="str">
        <f t="shared" si="5"/>
        <v>Apr</v>
      </c>
    </row>
    <row r="104" spans="1:15">
      <c r="A104" t="s">
        <v>238</v>
      </c>
      <c r="B104" s="2">
        <v>45730</v>
      </c>
      <c r="C104" t="s">
        <v>176</v>
      </c>
      <c r="D104" t="s">
        <v>24</v>
      </c>
      <c r="E104" t="s">
        <v>25</v>
      </c>
      <c r="F104" t="s">
        <v>35</v>
      </c>
      <c r="G104" s="10">
        <v>1</v>
      </c>
      <c r="H104">
        <v>1952.24</v>
      </c>
      <c r="I104" s="6">
        <v>0</v>
      </c>
      <c r="J104" s="8">
        <v>315.23</v>
      </c>
      <c r="K104" s="4" t="s">
        <v>65</v>
      </c>
      <c r="L104" t="s">
        <v>36</v>
      </c>
      <c r="M104">
        <f t="shared" si="3"/>
        <v>0</v>
      </c>
      <c r="N104" s="6">
        <f t="shared" si="4"/>
        <v>0.16147092570585583</v>
      </c>
      <c r="O104" s="6" t="str">
        <f t="shared" si="5"/>
        <v>Mar</v>
      </c>
    </row>
    <row r="105" spans="1:15">
      <c r="A105" t="s">
        <v>239</v>
      </c>
      <c r="B105" s="2">
        <v>45829</v>
      </c>
      <c r="C105" t="s">
        <v>240</v>
      </c>
      <c r="D105" t="s">
        <v>146</v>
      </c>
      <c r="E105" t="s">
        <v>25</v>
      </c>
      <c r="F105" t="s">
        <v>70</v>
      </c>
      <c r="G105" s="10">
        <v>3</v>
      </c>
      <c r="H105">
        <v>4500.38</v>
      </c>
      <c r="I105" s="6">
        <v>0.05</v>
      </c>
      <c r="J105" s="8">
        <v>405.47</v>
      </c>
      <c r="K105" s="4" t="s">
        <v>32</v>
      </c>
      <c r="L105" t="s">
        <v>21</v>
      </c>
      <c r="M105">
        <f t="shared" si="3"/>
        <v>225.01900000000001</v>
      </c>
      <c r="N105" s="6">
        <f t="shared" si="4"/>
        <v>9.0096836267159669E-2</v>
      </c>
      <c r="O105" s="6" t="str">
        <f t="shared" si="5"/>
        <v>Jun</v>
      </c>
    </row>
    <row r="106" spans="1:15">
      <c r="A106" t="s">
        <v>241</v>
      </c>
      <c r="B106" s="2">
        <v>45968</v>
      </c>
      <c r="C106" t="s">
        <v>242</v>
      </c>
      <c r="D106" t="s">
        <v>191</v>
      </c>
      <c r="E106" t="s">
        <v>69</v>
      </c>
      <c r="F106" t="s">
        <v>31</v>
      </c>
      <c r="G106" s="10">
        <v>1</v>
      </c>
      <c r="H106">
        <v>9514.15</v>
      </c>
      <c r="I106" s="6">
        <v>0.25</v>
      </c>
      <c r="J106" s="8">
        <v>2478.0700000000002</v>
      </c>
      <c r="K106" s="4" t="s">
        <v>20</v>
      </c>
      <c r="L106" t="s">
        <v>21</v>
      </c>
      <c r="M106">
        <f t="shared" si="3"/>
        <v>2378.5374999999999</v>
      </c>
      <c r="N106" s="6">
        <f t="shared" si="4"/>
        <v>0.26046152309980403</v>
      </c>
      <c r="O106" s="6" t="str">
        <f t="shared" si="5"/>
        <v>Nov</v>
      </c>
    </row>
    <row r="107" spans="1:15">
      <c r="A107" t="s">
        <v>243</v>
      </c>
      <c r="B107" s="2">
        <v>45925</v>
      </c>
      <c r="C107" t="s">
        <v>244</v>
      </c>
      <c r="D107" t="s">
        <v>50</v>
      </c>
      <c r="E107" t="s">
        <v>40</v>
      </c>
      <c r="F107" t="s">
        <v>19</v>
      </c>
      <c r="G107" s="10">
        <v>3</v>
      </c>
      <c r="H107">
        <v>5933.41</v>
      </c>
      <c r="I107" s="6">
        <v>0.2</v>
      </c>
      <c r="J107" s="8">
        <v>1338.67</v>
      </c>
      <c r="K107" s="4" t="s">
        <v>65</v>
      </c>
      <c r="L107" t="s">
        <v>36</v>
      </c>
      <c r="M107">
        <f t="shared" si="3"/>
        <v>1186.682</v>
      </c>
      <c r="N107" s="6">
        <f t="shared" si="4"/>
        <v>0.22561562406777891</v>
      </c>
      <c r="O107" s="6" t="str">
        <f t="shared" si="5"/>
        <v>Sep</v>
      </c>
    </row>
    <row r="108" spans="1:15">
      <c r="A108" t="s">
        <v>245</v>
      </c>
      <c r="B108" s="2">
        <v>45927</v>
      </c>
      <c r="C108" t="s">
        <v>222</v>
      </c>
      <c r="D108" t="s">
        <v>39</v>
      </c>
      <c r="E108" t="s">
        <v>40</v>
      </c>
      <c r="F108" t="s">
        <v>31</v>
      </c>
      <c r="G108" s="10">
        <v>5</v>
      </c>
      <c r="H108">
        <v>8526.61</v>
      </c>
      <c r="I108" s="6">
        <v>0.1</v>
      </c>
      <c r="J108" s="8">
        <v>2084.9699999999998</v>
      </c>
      <c r="K108" s="4" t="s">
        <v>20</v>
      </c>
      <c r="L108" t="s">
        <v>21</v>
      </c>
      <c r="M108">
        <f t="shared" si="3"/>
        <v>852.66100000000006</v>
      </c>
      <c r="N108" s="6">
        <f t="shared" si="4"/>
        <v>0.24452508089381356</v>
      </c>
      <c r="O108" s="6" t="str">
        <f t="shared" si="5"/>
        <v>Sep</v>
      </c>
    </row>
    <row r="109" spans="1:15">
      <c r="A109" t="s">
        <v>246</v>
      </c>
      <c r="B109" s="2">
        <v>45760</v>
      </c>
      <c r="C109" t="s">
        <v>247</v>
      </c>
      <c r="D109" t="s">
        <v>84</v>
      </c>
      <c r="E109" t="s">
        <v>18</v>
      </c>
      <c r="F109" t="s">
        <v>70</v>
      </c>
      <c r="G109" s="10">
        <v>1</v>
      </c>
      <c r="H109">
        <v>2403.5700000000002</v>
      </c>
      <c r="I109" s="6">
        <v>0.1</v>
      </c>
      <c r="J109" s="8">
        <v>442.51</v>
      </c>
      <c r="K109" s="4" t="s">
        <v>20</v>
      </c>
      <c r="L109" t="s">
        <v>21</v>
      </c>
      <c r="M109">
        <f t="shared" si="3"/>
        <v>240.35700000000003</v>
      </c>
      <c r="N109" s="6">
        <f t="shared" si="4"/>
        <v>0.18410531001801486</v>
      </c>
      <c r="O109" s="6" t="str">
        <f t="shared" si="5"/>
        <v>Apr</v>
      </c>
    </row>
    <row r="110" spans="1:15">
      <c r="A110" t="s">
        <v>248</v>
      </c>
      <c r="B110" s="2">
        <v>45672</v>
      </c>
      <c r="C110" t="s">
        <v>249</v>
      </c>
      <c r="D110" t="s">
        <v>250</v>
      </c>
      <c r="E110" t="s">
        <v>76</v>
      </c>
      <c r="F110" t="s">
        <v>19</v>
      </c>
      <c r="G110" s="10">
        <v>1</v>
      </c>
      <c r="H110">
        <v>6230.12</v>
      </c>
      <c r="I110" s="6">
        <v>0.25</v>
      </c>
      <c r="J110" s="8">
        <v>779.33</v>
      </c>
      <c r="K110" s="4" t="s">
        <v>20</v>
      </c>
      <c r="L110" t="s">
        <v>21</v>
      </c>
      <c r="M110">
        <f t="shared" si="3"/>
        <v>1557.53</v>
      </c>
      <c r="N110" s="6">
        <f t="shared" si="4"/>
        <v>0.1250906884618595</v>
      </c>
      <c r="O110" s="6" t="str">
        <f t="shared" si="5"/>
        <v>Jan</v>
      </c>
    </row>
    <row r="111" spans="1:15">
      <c r="A111" t="s">
        <v>251</v>
      </c>
      <c r="B111" s="2">
        <v>45691</v>
      </c>
      <c r="C111" t="s">
        <v>252</v>
      </c>
      <c r="D111" t="s">
        <v>75</v>
      </c>
      <c r="E111" t="s">
        <v>76</v>
      </c>
      <c r="F111" t="s">
        <v>70</v>
      </c>
      <c r="G111" s="10">
        <v>3</v>
      </c>
      <c r="H111">
        <v>31639.62</v>
      </c>
      <c r="I111" s="6">
        <v>0.2</v>
      </c>
      <c r="J111" s="8">
        <v>4023.56</v>
      </c>
      <c r="K111" s="4" t="s">
        <v>42</v>
      </c>
      <c r="L111" t="s">
        <v>36</v>
      </c>
      <c r="M111">
        <f t="shared" si="3"/>
        <v>6327.924</v>
      </c>
      <c r="N111" s="6">
        <f t="shared" si="4"/>
        <v>0.1271684046774266</v>
      </c>
      <c r="O111" s="6" t="str">
        <f t="shared" si="5"/>
        <v>Feb</v>
      </c>
    </row>
    <row r="112" spans="1:15">
      <c r="A112" t="s">
        <v>253</v>
      </c>
      <c r="B112" s="2">
        <v>45902</v>
      </c>
      <c r="C112" t="s">
        <v>254</v>
      </c>
      <c r="D112" t="s">
        <v>114</v>
      </c>
      <c r="E112" t="s">
        <v>69</v>
      </c>
      <c r="F112" t="s">
        <v>41</v>
      </c>
      <c r="G112" s="10">
        <v>4</v>
      </c>
      <c r="H112">
        <v>139691.89000000001</v>
      </c>
      <c r="I112" s="6">
        <v>0.15</v>
      </c>
      <c r="J112" s="8">
        <v>37125.550000000003</v>
      </c>
      <c r="K112" s="4" t="s">
        <v>42</v>
      </c>
      <c r="L112" t="s">
        <v>21</v>
      </c>
      <c r="M112">
        <f t="shared" si="3"/>
        <v>20953.783500000001</v>
      </c>
      <c r="N112" s="6">
        <f t="shared" si="4"/>
        <v>0.26576739709084041</v>
      </c>
      <c r="O112" s="6" t="str">
        <f t="shared" si="5"/>
        <v>Sep</v>
      </c>
    </row>
    <row r="113" spans="1:15">
      <c r="A113" t="s">
        <v>255</v>
      </c>
      <c r="B113" s="2">
        <v>45799</v>
      </c>
      <c r="C113" t="s">
        <v>109</v>
      </c>
      <c r="D113" t="s">
        <v>72</v>
      </c>
      <c r="E113" t="s">
        <v>69</v>
      </c>
      <c r="F113" t="s">
        <v>107</v>
      </c>
      <c r="G113" s="10">
        <v>2</v>
      </c>
      <c r="H113">
        <v>29734.47</v>
      </c>
      <c r="I113" s="6">
        <v>0.25</v>
      </c>
      <c r="J113" s="8">
        <v>5902.69</v>
      </c>
      <c r="K113" s="4" t="s">
        <v>65</v>
      </c>
      <c r="L113" t="s">
        <v>36</v>
      </c>
      <c r="M113">
        <f t="shared" si="3"/>
        <v>7433.6175000000003</v>
      </c>
      <c r="N113" s="6">
        <f t="shared" si="4"/>
        <v>0.19851337521738235</v>
      </c>
      <c r="O113" s="6" t="str">
        <f t="shared" si="5"/>
        <v>May</v>
      </c>
    </row>
    <row r="114" spans="1:15">
      <c r="A114" t="s">
        <v>256</v>
      </c>
      <c r="B114" s="2">
        <v>45844</v>
      </c>
      <c r="C114" t="s">
        <v>118</v>
      </c>
      <c r="D114" t="s">
        <v>90</v>
      </c>
      <c r="E114" t="s">
        <v>69</v>
      </c>
      <c r="F114" t="s">
        <v>19</v>
      </c>
      <c r="G114" s="10">
        <v>2</v>
      </c>
      <c r="H114">
        <v>83249.460000000006</v>
      </c>
      <c r="I114" s="6">
        <v>0.2</v>
      </c>
      <c r="J114" s="8">
        <v>6906.97</v>
      </c>
      <c r="K114" s="4" t="s">
        <v>32</v>
      </c>
      <c r="L114" t="s">
        <v>21</v>
      </c>
      <c r="M114">
        <f t="shared" si="3"/>
        <v>16649.892000000003</v>
      </c>
      <c r="N114" s="6">
        <f t="shared" si="4"/>
        <v>8.2967144771869991E-2</v>
      </c>
      <c r="O114" s="6" t="str">
        <f t="shared" si="5"/>
        <v>Jul</v>
      </c>
    </row>
    <row r="115" spans="1:15">
      <c r="A115" t="s">
        <v>257</v>
      </c>
      <c r="B115" s="2">
        <v>45709</v>
      </c>
      <c r="C115" t="s">
        <v>258</v>
      </c>
      <c r="D115" t="s">
        <v>126</v>
      </c>
      <c r="E115" t="s">
        <v>76</v>
      </c>
      <c r="F115" t="s">
        <v>70</v>
      </c>
      <c r="G115" s="10">
        <v>4</v>
      </c>
      <c r="H115">
        <v>13121.41</v>
      </c>
      <c r="I115" s="6">
        <v>0.15</v>
      </c>
      <c r="J115" s="8">
        <v>3347.26</v>
      </c>
      <c r="K115" s="4" t="s">
        <v>20</v>
      </c>
      <c r="L115" t="s">
        <v>36</v>
      </c>
      <c r="M115">
        <f t="shared" si="3"/>
        <v>1968.2114999999999</v>
      </c>
      <c r="N115" s="6">
        <f t="shared" si="4"/>
        <v>0.25509910901343685</v>
      </c>
      <c r="O115" s="6" t="str">
        <f t="shared" si="5"/>
        <v>Feb</v>
      </c>
    </row>
    <row r="116" spans="1:15">
      <c r="A116" t="s">
        <v>259</v>
      </c>
      <c r="B116" s="2">
        <v>45875</v>
      </c>
      <c r="C116" t="s">
        <v>242</v>
      </c>
      <c r="D116" t="s">
        <v>146</v>
      </c>
      <c r="E116" t="s">
        <v>25</v>
      </c>
      <c r="F116" t="s">
        <v>77</v>
      </c>
      <c r="G116" s="10">
        <v>1</v>
      </c>
      <c r="H116">
        <v>1058.6300000000001</v>
      </c>
      <c r="I116" s="6">
        <v>0.1</v>
      </c>
      <c r="J116" s="8">
        <v>243.2</v>
      </c>
      <c r="K116" s="4" t="s">
        <v>65</v>
      </c>
      <c r="L116" t="s">
        <v>21</v>
      </c>
      <c r="M116">
        <f t="shared" si="3"/>
        <v>105.86300000000001</v>
      </c>
      <c r="N116" s="6">
        <f t="shared" si="4"/>
        <v>0.22973087858836416</v>
      </c>
      <c r="O116" s="6" t="str">
        <f t="shared" si="5"/>
        <v>Aug</v>
      </c>
    </row>
    <row r="117" spans="1:15">
      <c r="A117" t="s">
        <v>260</v>
      </c>
      <c r="B117" s="2">
        <v>45835</v>
      </c>
      <c r="C117" t="s">
        <v>261</v>
      </c>
      <c r="D117" t="s">
        <v>45</v>
      </c>
      <c r="E117" t="s">
        <v>18</v>
      </c>
      <c r="F117" t="s">
        <v>19</v>
      </c>
      <c r="G117" s="10">
        <v>2</v>
      </c>
      <c r="H117">
        <v>5120.78</v>
      </c>
      <c r="I117" s="6">
        <v>0.1</v>
      </c>
      <c r="J117" s="8">
        <v>1282.78</v>
      </c>
      <c r="K117" s="4" t="s">
        <v>20</v>
      </c>
      <c r="L117" t="s">
        <v>21</v>
      </c>
      <c r="M117">
        <f t="shared" si="3"/>
        <v>512.07799999999997</v>
      </c>
      <c r="N117" s="6">
        <f t="shared" si="4"/>
        <v>0.2505048059084749</v>
      </c>
      <c r="O117" s="6" t="str">
        <f t="shared" si="5"/>
        <v>Jun</v>
      </c>
    </row>
    <row r="118" spans="1:15">
      <c r="A118" t="s">
        <v>262</v>
      </c>
      <c r="B118" s="2">
        <v>46014</v>
      </c>
      <c r="C118" t="s">
        <v>165</v>
      </c>
      <c r="D118" t="s">
        <v>90</v>
      </c>
      <c r="E118" t="s">
        <v>69</v>
      </c>
      <c r="F118" t="s">
        <v>70</v>
      </c>
      <c r="G118" s="10">
        <v>2</v>
      </c>
      <c r="H118">
        <v>54300.85</v>
      </c>
      <c r="I118" s="6">
        <v>0.1</v>
      </c>
      <c r="J118" s="8">
        <v>6569.53</v>
      </c>
      <c r="K118" s="4" t="s">
        <v>65</v>
      </c>
      <c r="L118" t="s">
        <v>21</v>
      </c>
      <c r="M118">
        <f t="shared" si="3"/>
        <v>5430.085</v>
      </c>
      <c r="N118" s="6">
        <f t="shared" si="4"/>
        <v>0.12098392566598866</v>
      </c>
      <c r="O118" s="6" t="str">
        <f t="shared" si="5"/>
        <v>Dec</v>
      </c>
    </row>
    <row r="119" spans="1:15">
      <c r="A119" t="s">
        <v>263</v>
      </c>
      <c r="B119" s="2">
        <v>45682</v>
      </c>
      <c r="C119" t="s">
        <v>264</v>
      </c>
      <c r="D119" t="s">
        <v>126</v>
      </c>
      <c r="E119" t="s">
        <v>76</v>
      </c>
      <c r="F119" t="s">
        <v>19</v>
      </c>
      <c r="G119" s="10">
        <v>5</v>
      </c>
      <c r="H119">
        <v>53012.77</v>
      </c>
      <c r="I119" s="6">
        <v>0.05</v>
      </c>
      <c r="J119" s="8">
        <v>8214.44</v>
      </c>
      <c r="K119" s="4" t="s">
        <v>32</v>
      </c>
      <c r="L119" t="s">
        <v>21</v>
      </c>
      <c r="M119">
        <f t="shared" si="3"/>
        <v>2650.6385</v>
      </c>
      <c r="N119" s="6">
        <f t="shared" si="4"/>
        <v>0.1549520992772119</v>
      </c>
      <c r="O119" s="6" t="str">
        <f t="shared" si="5"/>
        <v>Jan</v>
      </c>
    </row>
    <row r="120" spans="1:15">
      <c r="A120" t="s">
        <v>265</v>
      </c>
      <c r="B120" s="2">
        <v>45694</v>
      </c>
      <c r="C120" t="s">
        <v>266</v>
      </c>
      <c r="D120" t="s">
        <v>95</v>
      </c>
      <c r="E120" t="s">
        <v>76</v>
      </c>
      <c r="F120" t="s">
        <v>19</v>
      </c>
      <c r="G120" s="10">
        <v>4</v>
      </c>
      <c r="H120">
        <v>7096.81</v>
      </c>
      <c r="I120" s="6">
        <v>0.15</v>
      </c>
      <c r="J120" s="8">
        <v>444.97</v>
      </c>
      <c r="K120" s="4" t="s">
        <v>20</v>
      </c>
      <c r="L120" t="s">
        <v>21</v>
      </c>
      <c r="M120">
        <f t="shared" si="3"/>
        <v>1064.5215000000001</v>
      </c>
      <c r="N120" s="6">
        <f t="shared" si="4"/>
        <v>6.2700001831808946E-2</v>
      </c>
      <c r="O120" s="6" t="str">
        <f t="shared" si="5"/>
        <v>Feb</v>
      </c>
    </row>
    <row r="121" spans="1:15">
      <c r="A121" t="s">
        <v>267</v>
      </c>
      <c r="B121" s="2">
        <v>45980</v>
      </c>
      <c r="C121" t="s">
        <v>111</v>
      </c>
      <c r="D121" t="s">
        <v>56</v>
      </c>
      <c r="E121" t="s">
        <v>40</v>
      </c>
      <c r="F121" t="s">
        <v>70</v>
      </c>
      <c r="G121" s="10">
        <v>2</v>
      </c>
      <c r="H121">
        <v>2357.6</v>
      </c>
      <c r="I121" s="6">
        <v>0.2</v>
      </c>
      <c r="J121" s="8">
        <v>244.25</v>
      </c>
      <c r="K121" s="4" t="s">
        <v>42</v>
      </c>
      <c r="L121" t="s">
        <v>21</v>
      </c>
      <c r="M121">
        <f t="shared" si="3"/>
        <v>471.52</v>
      </c>
      <c r="N121" s="6">
        <f t="shared" si="4"/>
        <v>0.10360111978283</v>
      </c>
      <c r="O121" s="6" t="str">
        <f t="shared" si="5"/>
        <v>Nov</v>
      </c>
    </row>
    <row r="122" spans="1:15">
      <c r="A122" t="s">
        <v>268</v>
      </c>
      <c r="B122" s="2">
        <v>46020</v>
      </c>
      <c r="C122" t="s">
        <v>180</v>
      </c>
      <c r="D122" t="s">
        <v>58</v>
      </c>
      <c r="E122" t="s">
        <v>25</v>
      </c>
      <c r="F122" t="s">
        <v>26</v>
      </c>
      <c r="G122" s="10">
        <v>5</v>
      </c>
      <c r="H122">
        <v>16996.05</v>
      </c>
      <c r="I122" s="6">
        <v>0.05</v>
      </c>
      <c r="J122" s="8">
        <v>1280.21</v>
      </c>
      <c r="K122" s="4" t="s">
        <v>20</v>
      </c>
      <c r="L122" t="s">
        <v>21</v>
      </c>
      <c r="M122">
        <f t="shared" si="3"/>
        <v>849.80250000000001</v>
      </c>
      <c r="N122" s="6">
        <f t="shared" si="4"/>
        <v>7.5323972334748371E-2</v>
      </c>
      <c r="O122" s="6" t="str">
        <f t="shared" si="5"/>
        <v>Dec</v>
      </c>
    </row>
    <row r="123" spans="1:15">
      <c r="A123" t="s">
        <v>269</v>
      </c>
      <c r="B123" s="2">
        <v>45680</v>
      </c>
      <c r="C123" t="s">
        <v>270</v>
      </c>
      <c r="D123" t="s">
        <v>126</v>
      </c>
      <c r="E123" t="s">
        <v>76</v>
      </c>
      <c r="F123" t="s">
        <v>35</v>
      </c>
      <c r="G123" s="10">
        <v>2</v>
      </c>
      <c r="H123">
        <v>4263.5</v>
      </c>
      <c r="I123" s="6">
        <v>0.1</v>
      </c>
      <c r="J123" s="8">
        <v>400.55</v>
      </c>
      <c r="K123" s="4" t="s">
        <v>42</v>
      </c>
      <c r="L123" t="s">
        <v>21</v>
      </c>
      <c r="M123">
        <f t="shared" si="3"/>
        <v>426.35</v>
      </c>
      <c r="N123" s="6">
        <f t="shared" si="4"/>
        <v>9.3948633751612526E-2</v>
      </c>
      <c r="O123" s="6" t="str">
        <f t="shared" si="5"/>
        <v>Jan</v>
      </c>
    </row>
    <row r="124" spans="1:15">
      <c r="A124" t="s">
        <v>271</v>
      </c>
      <c r="B124" s="2">
        <v>45952</v>
      </c>
      <c r="C124" t="s">
        <v>272</v>
      </c>
      <c r="D124" t="s">
        <v>61</v>
      </c>
      <c r="E124" t="s">
        <v>40</v>
      </c>
      <c r="F124" t="s">
        <v>19</v>
      </c>
      <c r="G124" s="10">
        <v>2</v>
      </c>
      <c r="H124">
        <v>1343.75</v>
      </c>
      <c r="I124" s="6">
        <v>0.25</v>
      </c>
      <c r="J124" s="8">
        <v>173.91</v>
      </c>
      <c r="K124" s="4" t="s">
        <v>27</v>
      </c>
      <c r="L124" t="s">
        <v>21</v>
      </c>
      <c r="M124">
        <f t="shared" si="3"/>
        <v>335.9375</v>
      </c>
      <c r="N124" s="6">
        <f t="shared" si="4"/>
        <v>0.1294213953488372</v>
      </c>
      <c r="O124" s="6" t="str">
        <f t="shared" si="5"/>
        <v>Oct</v>
      </c>
    </row>
    <row r="125" spans="1:15">
      <c r="A125" t="s">
        <v>273</v>
      </c>
      <c r="B125" s="2">
        <v>45731</v>
      </c>
      <c r="C125" t="s">
        <v>274</v>
      </c>
      <c r="D125" t="s">
        <v>56</v>
      </c>
      <c r="E125" t="s">
        <v>40</v>
      </c>
      <c r="F125" t="s">
        <v>107</v>
      </c>
      <c r="G125" s="10">
        <v>1</v>
      </c>
      <c r="H125">
        <v>2054.2199999999998</v>
      </c>
      <c r="I125" s="6">
        <v>0.15</v>
      </c>
      <c r="J125" s="8">
        <v>373.65</v>
      </c>
      <c r="K125" s="4" t="s">
        <v>42</v>
      </c>
      <c r="L125" t="s">
        <v>36</v>
      </c>
      <c r="M125">
        <f t="shared" si="3"/>
        <v>308.13299999999998</v>
      </c>
      <c r="N125" s="6">
        <f t="shared" si="4"/>
        <v>0.18189385752256332</v>
      </c>
      <c r="O125" s="6" t="str">
        <f t="shared" si="5"/>
        <v>Mar</v>
      </c>
    </row>
    <row r="126" spans="1:15">
      <c r="A126" t="s">
        <v>275</v>
      </c>
      <c r="B126" s="2">
        <v>45876</v>
      </c>
      <c r="C126" t="s">
        <v>276</v>
      </c>
      <c r="D126" t="s">
        <v>45</v>
      </c>
      <c r="E126" t="s">
        <v>18</v>
      </c>
      <c r="F126" t="s">
        <v>35</v>
      </c>
      <c r="G126" s="10">
        <v>1</v>
      </c>
      <c r="H126">
        <v>3129.74</v>
      </c>
      <c r="I126" s="6">
        <v>0</v>
      </c>
      <c r="J126" s="8">
        <v>607.92999999999995</v>
      </c>
      <c r="K126" s="4" t="s">
        <v>32</v>
      </c>
      <c r="L126" t="s">
        <v>21</v>
      </c>
      <c r="M126">
        <f t="shared" si="3"/>
        <v>0</v>
      </c>
      <c r="N126" s="6">
        <f t="shared" si="4"/>
        <v>0.19424297225967652</v>
      </c>
      <c r="O126" s="6" t="str">
        <f t="shared" si="5"/>
        <v>Aug</v>
      </c>
    </row>
    <row r="127" spans="1:15">
      <c r="A127" t="s">
        <v>277</v>
      </c>
      <c r="B127" s="2">
        <v>45908</v>
      </c>
      <c r="C127" t="s">
        <v>83</v>
      </c>
      <c r="D127" t="s">
        <v>64</v>
      </c>
      <c r="E127" t="s">
        <v>40</v>
      </c>
      <c r="F127" t="s">
        <v>77</v>
      </c>
      <c r="G127" s="10">
        <v>3</v>
      </c>
      <c r="H127">
        <v>4047.85</v>
      </c>
      <c r="I127" s="6">
        <v>0.15</v>
      </c>
      <c r="J127" s="8">
        <v>342.14</v>
      </c>
      <c r="K127" s="4" t="s">
        <v>32</v>
      </c>
      <c r="L127" t="s">
        <v>36</v>
      </c>
      <c r="M127">
        <f t="shared" si="3"/>
        <v>607.17750000000001</v>
      </c>
      <c r="N127" s="6">
        <f t="shared" si="4"/>
        <v>8.4523883049026027E-2</v>
      </c>
      <c r="O127" s="6" t="str">
        <f t="shared" si="5"/>
        <v>Sep</v>
      </c>
    </row>
    <row r="128" spans="1:15">
      <c r="A128" t="s">
        <v>278</v>
      </c>
      <c r="B128" s="2">
        <v>45883</v>
      </c>
      <c r="C128" t="s">
        <v>279</v>
      </c>
      <c r="D128" t="s">
        <v>95</v>
      </c>
      <c r="E128" t="s">
        <v>76</v>
      </c>
      <c r="F128" t="s">
        <v>31</v>
      </c>
      <c r="G128" s="10">
        <v>5</v>
      </c>
      <c r="H128">
        <v>63865.81</v>
      </c>
      <c r="I128" s="6">
        <v>0.1</v>
      </c>
      <c r="J128" s="8">
        <v>11033.47</v>
      </c>
      <c r="K128" s="4" t="s">
        <v>20</v>
      </c>
      <c r="L128" t="s">
        <v>21</v>
      </c>
      <c r="M128">
        <f t="shared" si="3"/>
        <v>6386.5810000000001</v>
      </c>
      <c r="N128" s="6">
        <f t="shared" si="4"/>
        <v>0.17276019829702308</v>
      </c>
      <c r="O128" s="6" t="str">
        <f t="shared" si="5"/>
        <v>Aug</v>
      </c>
    </row>
    <row r="129" spans="1:15">
      <c r="A129" t="s">
        <v>280</v>
      </c>
      <c r="B129" s="2">
        <v>45741</v>
      </c>
      <c r="C129" t="s">
        <v>281</v>
      </c>
      <c r="D129" t="s">
        <v>45</v>
      </c>
      <c r="E129" t="s">
        <v>18</v>
      </c>
      <c r="F129" t="s">
        <v>107</v>
      </c>
      <c r="G129" s="10">
        <v>3</v>
      </c>
      <c r="H129">
        <v>3715.16</v>
      </c>
      <c r="I129" s="6">
        <v>0</v>
      </c>
      <c r="J129" s="8">
        <v>1079.8499999999999</v>
      </c>
      <c r="K129" s="4" t="s">
        <v>20</v>
      </c>
      <c r="L129" t="s">
        <v>21</v>
      </c>
      <c r="M129">
        <f t="shared" si="3"/>
        <v>0</v>
      </c>
      <c r="N129" s="6">
        <f t="shared" si="4"/>
        <v>0.29066042916052065</v>
      </c>
      <c r="O129" s="6" t="str">
        <f t="shared" si="5"/>
        <v>Mar</v>
      </c>
    </row>
    <row r="130" spans="1:15">
      <c r="A130" t="s">
        <v>282</v>
      </c>
      <c r="B130" s="2">
        <v>45919</v>
      </c>
      <c r="C130" t="s">
        <v>38</v>
      </c>
      <c r="D130" t="s">
        <v>56</v>
      </c>
      <c r="E130" t="s">
        <v>40</v>
      </c>
      <c r="F130" t="s">
        <v>77</v>
      </c>
      <c r="G130" s="10">
        <v>3</v>
      </c>
      <c r="H130">
        <v>2340.86</v>
      </c>
      <c r="I130" s="6">
        <v>0.1</v>
      </c>
      <c r="J130" s="8">
        <v>317.89</v>
      </c>
      <c r="K130" s="4" t="s">
        <v>27</v>
      </c>
      <c r="L130" t="s">
        <v>36</v>
      </c>
      <c r="M130">
        <f t="shared" si="3"/>
        <v>234.08600000000001</v>
      </c>
      <c r="N130" s="6">
        <f t="shared" si="4"/>
        <v>0.13580051775843066</v>
      </c>
      <c r="O130" s="6" t="str">
        <f t="shared" si="5"/>
        <v>Sep</v>
      </c>
    </row>
    <row r="131" spans="1:15">
      <c r="A131" t="s">
        <v>283</v>
      </c>
      <c r="B131" s="2">
        <v>45669</v>
      </c>
      <c r="C131" t="s">
        <v>284</v>
      </c>
      <c r="D131" t="s">
        <v>68</v>
      </c>
      <c r="E131" t="s">
        <v>69</v>
      </c>
      <c r="F131" t="s">
        <v>41</v>
      </c>
      <c r="G131" s="10">
        <v>2</v>
      </c>
      <c r="H131">
        <v>101325.24</v>
      </c>
      <c r="I131" s="6">
        <v>0.1</v>
      </c>
      <c r="J131" s="8">
        <v>28936.62</v>
      </c>
      <c r="K131" s="4" t="s">
        <v>20</v>
      </c>
      <c r="L131" t="s">
        <v>21</v>
      </c>
      <c r="M131">
        <f t="shared" ref="M131:M194" si="6">H131*I131</f>
        <v>10132.524000000001</v>
      </c>
      <c r="N131" s="6">
        <f t="shared" ref="N131:N194" si="7">IFERROR(J131/H131,0)</f>
        <v>0.28558155894819492</v>
      </c>
      <c r="O131" s="6" t="str">
        <f t="shared" ref="O131:O194" si="8">TEXT(B131,"mmm")</f>
        <v>Jan</v>
      </c>
    </row>
    <row r="132" spans="1:15">
      <c r="A132" t="s">
        <v>285</v>
      </c>
      <c r="B132" s="2">
        <v>46006</v>
      </c>
      <c r="C132" t="s">
        <v>258</v>
      </c>
      <c r="D132" t="s">
        <v>146</v>
      </c>
      <c r="E132" t="s">
        <v>25</v>
      </c>
      <c r="F132" t="s">
        <v>31</v>
      </c>
      <c r="G132" s="10">
        <v>4</v>
      </c>
      <c r="H132">
        <v>1539.77</v>
      </c>
      <c r="I132" s="6">
        <v>0.15</v>
      </c>
      <c r="J132" s="8">
        <v>439.5</v>
      </c>
      <c r="K132" s="4" t="s">
        <v>65</v>
      </c>
      <c r="L132" t="s">
        <v>36</v>
      </c>
      <c r="M132">
        <f t="shared" si="6"/>
        <v>230.96549999999999</v>
      </c>
      <c r="N132" s="6">
        <f t="shared" si="7"/>
        <v>0.28543223987998206</v>
      </c>
      <c r="O132" s="6" t="str">
        <f t="shared" si="8"/>
        <v>Dec</v>
      </c>
    </row>
    <row r="133" spans="1:15">
      <c r="A133" t="s">
        <v>286</v>
      </c>
      <c r="B133" s="2">
        <v>45885</v>
      </c>
      <c r="C133" t="s">
        <v>38</v>
      </c>
      <c r="D133" t="s">
        <v>90</v>
      </c>
      <c r="E133" t="s">
        <v>69</v>
      </c>
      <c r="F133" t="s">
        <v>107</v>
      </c>
      <c r="G133" s="10">
        <v>1</v>
      </c>
      <c r="H133">
        <v>13673.69</v>
      </c>
      <c r="I133" s="6">
        <v>0</v>
      </c>
      <c r="J133" s="8">
        <v>1221.3499999999999</v>
      </c>
      <c r="K133" s="4" t="s">
        <v>20</v>
      </c>
      <c r="L133" t="s">
        <v>21</v>
      </c>
      <c r="M133">
        <f t="shared" si="6"/>
        <v>0</v>
      </c>
      <c r="N133" s="6">
        <f t="shared" si="7"/>
        <v>8.9321170803199415E-2</v>
      </c>
      <c r="O133" s="6" t="str">
        <f t="shared" si="8"/>
        <v>Aug</v>
      </c>
    </row>
    <row r="134" spans="1:15">
      <c r="A134" t="s">
        <v>287</v>
      </c>
      <c r="B134" s="2">
        <v>45934</v>
      </c>
      <c r="C134" t="s">
        <v>288</v>
      </c>
      <c r="D134" t="s">
        <v>24</v>
      </c>
      <c r="E134" t="s">
        <v>25</v>
      </c>
      <c r="F134" t="s">
        <v>19</v>
      </c>
      <c r="G134" s="10">
        <v>2</v>
      </c>
      <c r="H134">
        <v>6646.48</v>
      </c>
      <c r="I134" s="6">
        <v>0.05</v>
      </c>
      <c r="J134" s="8">
        <v>1073.98</v>
      </c>
      <c r="K134" s="4" t="s">
        <v>32</v>
      </c>
      <c r="L134" t="s">
        <v>21</v>
      </c>
      <c r="M134">
        <f t="shared" si="6"/>
        <v>332.32400000000001</v>
      </c>
      <c r="N134" s="6">
        <f t="shared" si="7"/>
        <v>0.16158628326572863</v>
      </c>
      <c r="O134" s="6" t="str">
        <f t="shared" si="8"/>
        <v>Oct</v>
      </c>
    </row>
    <row r="135" spans="1:15">
      <c r="A135" t="s">
        <v>289</v>
      </c>
      <c r="B135" s="2">
        <v>45924</v>
      </c>
      <c r="C135" t="s">
        <v>290</v>
      </c>
      <c r="D135" t="s">
        <v>90</v>
      </c>
      <c r="E135" t="s">
        <v>69</v>
      </c>
      <c r="F135" t="s">
        <v>31</v>
      </c>
      <c r="G135" s="10">
        <v>3</v>
      </c>
      <c r="H135">
        <v>22609.55</v>
      </c>
      <c r="I135" s="6">
        <v>0</v>
      </c>
      <c r="J135" s="8">
        <v>1803.75</v>
      </c>
      <c r="K135" s="4" t="s">
        <v>42</v>
      </c>
      <c r="L135" t="s">
        <v>21</v>
      </c>
      <c r="M135">
        <f t="shared" si="6"/>
        <v>0</v>
      </c>
      <c r="N135" s="6">
        <f t="shared" si="7"/>
        <v>7.9778235303223644E-2</v>
      </c>
      <c r="O135" s="6" t="str">
        <f t="shared" si="8"/>
        <v>Sep</v>
      </c>
    </row>
    <row r="136" spans="1:15">
      <c r="A136" t="s">
        <v>291</v>
      </c>
      <c r="B136" s="2">
        <v>45659</v>
      </c>
      <c r="C136" t="s">
        <v>224</v>
      </c>
      <c r="D136" t="s">
        <v>95</v>
      </c>
      <c r="E136" t="s">
        <v>76</v>
      </c>
      <c r="F136" t="s">
        <v>35</v>
      </c>
      <c r="G136" s="10">
        <v>1</v>
      </c>
      <c r="H136">
        <v>1419.25</v>
      </c>
      <c r="I136" s="6">
        <v>0.2</v>
      </c>
      <c r="J136" s="8">
        <v>92.49</v>
      </c>
      <c r="K136" s="4" t="s">
        <v>27</v>
      </c>
      <c r="L136" t="s">
        <v>21</v>
      </c>
      <c r="M136">
        <f t="shared" si="6"/>
        <v>283.85000000000002</v>
      </c>
      <c r="N136" s="6">
        <f t="shared" si="7"/>
        <v>6.5168222652809582E-2</v>
      </c>
      <c r="O136" s="6" t="str">
        <f t="shared" si="8"/>
        <v>Jan</v>
      </c>
    </row>
    <row r="137" spans="1:15">
      <c r="A137" t="s">
        <v>292</v>
      </c>
      <c r="B137" s="2">
        <v>45763</v>
      </c>
      <c r="C137" t="s">
        <v>60</v>
      </c>
      <c r="D137" t="s">
        <v>95</v>
      </c>
      <c r="E137" t="s">
        <v>76</v>
      </c>
      <c r="F137" t="s">
        <v>41</v>
      </c>
      <c r="G137" s="10">
        <v>4</v>
      </c>
      <c r="H137">
        <v>7258.44</v>
      </c>
      <c r="I137" s="6">
        <v>0.1</v>
      </c>
      <c r="J137" s="8">
        <v>518.83000000000004</v>
      </c>
      <c r="K137" s="4" t="s">
        <v>65</v>
      </c>
      <c r="L137" t="s">
        <v>36</v>
      </c>
      <c r="M137">
        <f t="shared" si="6"/>
        <v>725.84400000000005</v>
      </c>
      <c r="N137" s="6">
        <f t="shared" si="7"/>
        <v>7.1479546569235275E-2</v>
      </c>
      <c r="O137" s="6" t="str">
        <f t="shared" si="8"/>
        <v>Apr</v>
      </c>
    </row>
    <row r="138" spans="1:15">
      <c r="A138" t="s">
        <v>293</v>
      </c>
      <c r="B138" s="2">
        <v>45985</v>
      </c>
      <c r="C138" t="s">
        <v>294</v>
      </c>
      <c r="D138" t="s">
        <v>191</v>
      </c>
      <c r="E138" t="s">
        <v>69</v>
      </c>
      <c r="F138" t="s">
        <v>31</v>
      </c>
      <c r="G138" s="10">
        <v>2</v>
      </c>
      <c r="H138">
        <v>69605.75</v>
      </c>
      <c r="I138" s="6">
        <v>0.15</v>
      </c>
      <c r="J138" s="8">
        <v>8497.89</v>
      </c>
      <c r="K138" s="4" t="s">
        <v>32</v>
      </c>
      <c r="L138" t="s">
        <v>21</v>
      </c>
      <c r="M138">
        <f t="shared" si="6"/>
        <v>10440.862499999999</v>
      </c>
      <c r="N138" s="6">
        <f t="shared" si="7"/>
        <v>0.12208603455892651</v>
      </c>
      <c r="O138" s="6" t="str">
        <f t="shared" si="8"/>
        <v>Nov</v>
      </c>
    </row>
    <row r="139" spans="1:15">
      <c r="A139" t="s">
        <v>295</v>
      </c>
      <c r="B139" s="2">
        <v>45660</v>
      </c>
      <c r="C139" t="s">
        <v>120</v>
      </c>
      <c r="D139" t="s">
        <v>45</v>
      </c>
      <c r="E139" t="s">
        <v>18</v>
      </c>
      <c r="F139" t="s">
        <v>31</v>
      </c>
      <c r="G139" s="10">
        <v>1</v>
      </c>
      <c r="H139">
        <v>617.4</v>
      </c>
      <c r="I139" s="6">
        <v>0.25</v>
      </c>
      <c r="J139" s="8">
        <v>58.99</v>
      </c>
      <c r="K139" s="4" t="s">
        <v>42</v>
      </c>
      <c r="L139" t="s">
        <v>36</v>
      </c>
      <c r="M139">
        <f t="shared" si="6"/>
        <v>154.35</v>
      </c>
      <c r="N139" s="6">
        <f t="shared" si="7"/>
        <v>9.554583738257208E-2</v>
      </c>
      <c r="O139" s="6" t="str">
        <f t="shared" si="8"/>
        <v>Jan</v>
      </c>
    </row>
    <row r="140" spans="1:15">
      <c r="A140" t="s">
        <v>296</v>
      </c>
      <c r="B140" s="2">
        <v>45804</v>
      </c>
      <c r="C140" t="s">
        <v>171</v>
      </c>
      <c r="D140" t="s">
        <v>56</v>
      </c>
      <c r="E140" t="s">
        <v>40</v>
      </c>
      <c r="F140" t="s">
        <v>70</v>
      </c>
      <c r="G140" s="10">
        <v>4</v>
      </c>
      <c r="H140">
        <v>6158.81</v>
      </c>
      <c r="I140" s="6">
        <v>0.2</v>
      </c>
      <c r="J140" s="8">
        <v>1400.42</v>
      </c>
      <c r="K140" s="4" t="s">
        <v>42</v>
      </c>
      <c r="L140" t="s">
        <v>21</v>
      </c>
      <c r="M140">
        <f t="shared" si="6"/>
        <v>1231.7620000000002</v>
      </c>
      <c r="N140" s="6">
        <f t="shared" si="7"/>
        <v>0.22738483570689791</v>
      </c>
      <c r="O140" s="6" t="str">
        <f t="shared" si="8"/>
        <v>May</v>
      </c>
    </row>
    <row r="141" spans="1:15">
      <c r="A141" t="s">
        <v>297</v>
      </c>
      <c r="B141" s="2">
        <v>45694</v>
      </c>
      <c r="C141" t="s">
        <v>298</v>
      </c>
      <c r="D141" t="s">
        <v>75</v>
      </c>
      <c r="E141" t="s">
        <v>76</v>
      </c>
      <c r="F141" t="s">
        <v>107</v>
      </c>
      <c r="G141" s="10">
        <v>1</v>
      </c>
      <c r="H141">
        <v>6504.64</v>
      </c>
      <c r="I141" s="6">
        <v>0.15</v>
      </c>
      <c r="J141" s="8">
        <v>628.94000000000005</v>
      </c>
      <c r="K141" s="4" t="s">
        <v>65</v>
      </c>
      <c r="L141" t="s">
        <v>21</v>
      </c>
      <c r="M141">
        <f t="shared" si="6"/>
        <v>975.69600000000003</v>
      </c>
      <c r="N141" s="6">
        <f t="shared" si="7"/>
        <v>9.6690977517587443E-2</v>
      </c>
      <c r="O141" s="6" t="str">
        <f t="shared" si="8"/>
        <v>Feb</v>
      </c>
    </row>
    <row r="142" spans="1:15">
      <c r="A142" t="s">
        <v>299</v>
      </c>
      <c r="B142" s="2">
        <v>45681</v>
      </c>
      <c r="C142" t="s">
        <v>300</v>
      </c>
      <c r="D142" t="s">
        <v>114</v>
      </c>
      <c r="E142" t="s">
        <v>69</v>
      </c>
      <c r="F142" t="s">
        <v>19</v>
      </c>
      <c r="G142" s="10">
        <v>4</v>
      </c>
      <c r="H142">
        <v>139966.78</v>
      </c>
      <c r="I142" s="6">
        <v>0.15</v>
      </c>
      <c r="J142" s="8">
        <v>17093.099999999999</v>
      </c>
      <c r="K142" s="4" t="s">
        <v>27</v>
      </c>
      <c r="L142" t="s">
        <v>21</v>
      </c>
      <c r="M142">
        <f t="shared" si="6"/>
        <v>20995.017</v>
      </c>
      <c r="N142" s="6">
        <f t="shared" si="7"/>
        <v>0.12212254936492786</v>
      </c>
      <c r="O142" s="6" t="str">
        <f t="shared" si="8"/>
        <v>Jan</v>
      </c>
    </row>
    <row r="143" spans="1:15">
      <c r="A143" t="s">
        <v>301</v>
      </c>
      <c r="B143" s="2">
        <v>46011</v>
      </c>
      <c r="C143" t="s">
        <v>152</v>
      </c>
      <c r="D143" t="s">
        <v>90</v>
      </c>
      <c r="E143" t="s">
        <v>69</v>
      </c>
      <c r="F143" t="s">
        <v>70</v>
      </c>
      <c r="G143" s="10">
        <v>4</v>
      </c>
      <c r="H143">
        <v>216120.33</v>
      </c>
      <c r="I143" s="6">
        <v>0.05</v>
      </c>
      <c r="J143" s="8">
        <v>49329.46</v>
      </c>
      <c r="K143" s="4" t="s">
        <v>32</v>
      </c>
      <c r="L143" t="s">
        <v>36</v>
      </c>
      <c r="M143">
        <f t="shared" si="6"/>
        <v>10806.0165</v>
      </c>
      <c r="N143" s="6">
        <f t="shared" si="7"/>
        <v>0.22824997537251587</v>
      </c>
      <c r="O143" s="6" t="str">
        <f t="shared" si="8"/>
        <v>Dec</v>
      </c>
    </row>
    <row r="144" spans="1:15">
      <c r="A144" t="s">
        <v>302</v>
      </c>
      <c r="B144" s="2">
        <v>45894</v>
      </c>
      <c r="C144" t="s">
        <v>34</v>
      </c>
      <c r="D144" t="s">
        <v>64</v>
      </c>
      <c r="E144" t="s">
        <v>40</v>
      </c>
      <c r="F144" t="s">
        <v>19</v>
      </c>
      <c r="G144" s="10">
        <v>2</v>
      </c>
      <c r="H144">
        <v>3342.02</v>
      </c>
      <c r="I144" s="6">
        <v>0</v>
      </c>
      <c r="J144" s="8">
        <v>268.39999999999998</v>
      </c>
      <c r="K144" s="4" t="s">
        <v>27</v>
      </c>
      <c r="L144" t="s">
        <v>36</v>
      </c>
      <c r="M144">
        <f t="shared" si="6"/>
        <v>0</v>
      </c>
      <c r="N144" s="6">
        <f t="shared" si="7"/>
        <v>8.0310710288986897E-2</v>
      </c>
      <c r="O144" s="6" t="str">
        <f t="shared" si="8"/>
        <v>Aug</v>
      </c>
    </row>
    <row r="145" spans="1:15">
      <c r="A145" t="s">
        <v>303</v>
      </c>
      <c r="B145" s="2">
        <v>45698</v>
      </c>
      <c r="C145" t="s">
        <v>304</v>
      </c>
      <c r="D145" t="s">
        <v>124</v>
      </c>
      <c r="E145" t="s">
        <v>76</v>
      </c>
      <c r="F145" t="s">
        <v>35</v>
      </c>
      <c r="G145" s="10">
        <v>4</v>
      </c>
      <c r="H145">
        <v>19118.400000000001</v>
      </c>
      <c r="I145" s="6">
        <v>0.25</v>
      </c>
      <c r="J145" s="8">
        <v>3420.1</v>
      </c>
      <c r="K145" s="4" t="s">
        <v>65</v>
      </c>
      <c r="L145" t="s">
        <v>21</v>
      </c>
      <c r="M145">
        <f t="shared" si="6"/>
        <v>4779.6000000000004</v>
      </c>
      <c r="N145" s="6">
        <f t="shared" si="7"/>
        <v>0.17889049292827849</v>
      </c>
      <c r="O145" s="6" t="str">
        <f t="shared" si="8"/>
        <v>Feb</v>
      </c>
    </row>
    <row r="146" spans="1:15">
      <c r="A146" t="s">
        <v>305</v>
      </c>
      <c r="B146" s="2">
        <v>45820</v>
      </c>
      <c r="C146" t="s">
        <v>306</v>
      </c>
      <c r="D146" t="s">
        <v>90</v>
      </c>
      <c r="E146" t="s">
        <v>69</v>
      </c>
      <c r="F146" t="s">
        <v>107</v>
      </c>
      <c r="G146" s="10">
        <v>5</v>
      </c>
      <c r="H146">
        <v>6898.76</v>
      </c>
      <c r="I146" s="6">
        <v>0</v>
      </c>
      <c r="J146" s="8">
        <v>1689.71</v>
      </c>
      <c r="K146" s="4" t="s">
        <v>32</v>
      </c>
      <c r="L146" t="s">
        <v>21</v>
      </c>
      <c r="M146">
        <f t="shared" si="6"/>
        <v>0</v>
      </c>
      <c r="N146" s="6">
        <f t="shared" si="7"/>
        <v>0.24492952356655398</v>
      </c>
      <c r="O146" s="6" t="str">
        <f t="shared" si="8"/>
        <v>Jun</v>
      </c>
    </row>
    <row r="147" spans="1:15">
      <c r="A147" t="s">
        <v>307</v>
      </c>
      <c r="B147" s="2">
        <v>45989</v>
      </c>
      <c r="C147" t="s">
        <v>190</v>
      </c>
      <c r="D147" t="s">
        <v>124</v>
      </c>
      <c r="E147" t="s">
        <v>76</v>
      </c>
      <c r="F147" t="s">
        <v>41</v>
      </c>
      <c r="G147" s="10">
        <v>1</v>
      </c>
      <c r="H147">
        <v>5735.69</v>
      </c>
      <c r="I147" s="6">
        <v>0.15</v>
      </c>
      <c r="J147" s="8">
        <v>983.05</v>
      </c>
      <c r="K147" s="4" t="s">
        <v>42</v>
      </c>
      <c r="L147" t="s">
        <v>21</v>
      </c>
      <c r="M147">
        <f t="shared" si="6"/>
        <v>860.35349999999994</v>
      </c>
      <c r="N147" s="6">
        <f t="shared" si="7"/>
        <v>0.17139175931753634</v>
      </c>
      <c r="O147" s="6" t="str">
        <f t="shared" si="8"/>
        <v>Nov</v>
      </c>
    </row>
    <row r="148" spans="1:15">
      <c r="A148" t="s">
        <v>308</v>
      </c>
      <c r="B148" s="2">
        <v>45861</v>
      </c>
      <c r="C148" t="s">
        <v>281</v>
      </c>
      <c r="D148" t="s">
        <v>24</v>
      </c>
      <c r="E148" t="s">
        <v>25</v>
      </c>
      <c r="F148" t="s">
        <v>77</v>
      </c>
      <c r="G148" s="10">
        <v>5</v>
      </c>
      <c r="H148">
        <v>16891.259999999998</v>
      </c>
      <c r="I148" s="6">
        <v>0.15</v>
      </c>
      <c r="J148" s="8">
        <v>2426.13</v>
      </c>
      <c r="K148" s="4" t="s">
        <v>42</v>
      </c>
      <c r="L148" t="s">
        <v>21</v>
      </c>
      <c r="M148">
        <f t="shared" si="6"/>
        <v>2533.6889999999999</v>
      </c>
      <c r="N148" s="6">
        <f t="shared" si="7"/>
        <v>0.14363226899591863</v>
      </c>
      <c r="O148" s="6" t="str">
        <f t="shared" si="8"/>
        <v>Jul</v>
      </c>
    </row>
    <row r="149" spans="1:15">
      <c r="A149" t="s">
        <v>309</v>
      </c>
      <c r="B149" s="2">
        <v>45787</v>
      </c>
      <c r="C149" t="s">
        <v>310</v>
      </c>
      <c r="D149" t="s">
        <v>45</v>
      </c>
      <c r="E149" t="s">
        <v>18</v>
      </c>
      <c r="F149" t="s">
        <v>70</v>
      </c>
      <c r="G149" s="10">
        <v>1</v>
      </c>
      <c r="H149">
        <v>1885.68</v>
      </c>
      <c r="I149" s="6">
        <v>0.15</v>
      </c>
      <c r="J149" s="8">
        <v>124.03</v>
      </c>
      <c r="K149" s="4" t="s">
        <v>20</v>
      </c>
      <c r="L149" t="s">
        <v>21</v>
      </c>
      <c r="M149">
        <f t="shared" si="6"/>
        <v>282.85199999999998</v>
      </c>
      <c r="N149" s="6">
        <f t="shared" si="7"/>
        <v>6.5774680751771245E-2</v>
      </c>
      <c r="O149" s="6" t="str">
        <f t="shared" si="8"/>
        <v>May</v>
      </c>
    </row>
    <row r="150" spans="1:15">
      <c r="A150" t="s">
        <v>311</v>
      </c>
      <c r="B150" s="2">
        <v>45863</v>
      </c>
      <c r="C150" t="s">
        <v>312</v>
      </c>
      <c r="D150" t="s">
        <v>50</v>
      </c>
      <c r="E150" t="s">
        <v>40</v>
      </c>
      <c r="F150" t="s">
        <v>77</v>
      </c>
      <c r="G150" s="10">
        <v>4</v>
      </c>
      <c r="H150">
        <v>1868.07</v>
      </c>
      <c r="I150" s="6">
        <v>0.2</v>
      </c>
      <c r="J150" s="8">
        <v>295.41000000000003</v>
      </c>
      <c r="K150" s="4" t="s">
        <v>27</v>
      </c>
      <c r="L150" t="s">
        <v>36</v>
      </c>
      <c r="M150">
        <f t="shared" si="6"/>
        <v>373.61400000000003</v>
      </c>
      <c r="N150" s="6">
        <f t="shared" si="7"/>
        <v>0.1581364724019978</v>
      </c>
      <c r="O150" s="6" t="str">
        <f t="shared" si="8"/>
        <v>Jul</v>
      </c>
    </row>
    <row r="151" spans="1:15">
      <c r="A151" t="s">
        <v>313</v>
      </c>
      <c r="B151" s="2">
        <v>45880</v>
      </c>
      <c r="C151" t="s">
        <v>249</v>
      </c>
      <c r="D151" t="s">
        <v>50</v>
      </c>
      <c r="E151" t="s">
        <v>40</v>
      </c>
      <c r="F151" t="s">
        <v>77</v>
      </c>
      <c r="G151" s="10">
        <v>3</v>
      </c>
      <c r="H151">
        <v>3442.26</v>
      </c>
      <c r="I151" s="6">
        <v>0.15</v>
      </c>
      <c r="J151" s="8">
        <v>661.14</v>
      </c>
      <c r="K151" s="4" t="s">
        <v>20</v>
      </c>
      <c r="L151" t="s">
        <v>36</v>
      </c>
      <c r="M151">
        <f t="shared" si="6"/>
        <v>516.33900000000006</v>
      </c>
      <c r="N151" s="6">
        <f t="shared" si="7"/>
        <v>0.19206567778145753</v>
      </c>
      <c r="O151" s="6" t="str">
        <f t="shared" si="8"/>
        <v>Aug</v>
      </c>
    </row>
    <row r="152" spans="1:15">
      <c r="A152" t="s">
        <v>314</v>
      </c>
      <c r="B152" s="2">
        <v>45665</v>
      </c>
      <c r="C152" t="s">
        <v>315</v>
      </c>
      <c r="D152" t="s">
        <v>95</v>
      </c>
      <c r="E152" t="s">
        <v>76</v>
      </c>
      <c r="F152" t="s">
        <v>77</v>
      </c>
      <c r="G152" s="10">
        <v>2</v>
      </c>
      <c r="H152">
        <v>5169.7</v>
      </c>
      <c r="I152" s="6">
        <v>0.2</v>
      </c>
      <c r="J152" s="8">
        <v>738.75</v>
      </c>
      <c r="K152" s="4" t="s">
        <v>27</v>
      </c>
      <c r="L152" t="s">
        <v>21</v>
      </c>
      <c r="M152">
        <f t="shared" si="6"/>
        <v>1033.94</v>
      </c>
      <c r="N152" s="6">
        <f t="shared" si="7"/>
        <v>0.14289997485347314</v>
      </c>
      <c r="O152" s="6" t="str">
        <f t="shared" si="8"/>
        <v>Jan</v>
      </c>
    </row>
    <row r="153" spans="1:15">
      <c r="A153" t="s">
        <v>316</v>
      </c>
      <c r="B153" s="2">
        <v>45771</v>
      </c>
      <c r="C153" t="s">
        <v>317</v>
      </c>
      <c r="D153" t="s">
        <v>75</v>
      </c>
      <c r="E153" t="s">
        <v>76</v>
      </c>
      <c r="F153" t="s">
        <v>77</v>
      </c>
      <c r="G153" s="10">
        <v>2</v>
      </c>
      <c r="H153">
        <v>18917.57</v>
      </c>
      <c r="I153" s="6">
        <v>0</v>
      </c>
      <c r="J153" s="8">
        <v>935.42</v>
      </c>
      <c r="K153" s="4" t="s">
        <v>42</v>
      </c>
      <c r="L153" t="s">
        <v>21</v>
      </c>
      <c r="M153">
        <f t="shared" si="6"/>
        <v>0</v>
      </c>
      <c r="N153" s="6">
        <f t="shared" si="7"/>
        <v>4.9447154153519718E-2</v>
      </c>
      <c r="O153" s="6" t="str">
        <f t="shared" si="8"/>
        <v>Apr</v>
      </c>
    </row>
    <row r="154" spans="1:15">
      <c r="A154" t="s">
        <v>318</v>
      </c>
      <c r="B154" s="2">
        <v>45726</v>
      </c>
      <c r="C154" t="s">
        <v>319</v>
      </c>
      <c r="D154" t="s">
        <v>24</v>
      </c>
      <c r="E154" t="s">
        <v>25</v>
      </c>
      <c r="F154" t="s">
        <v>31</v>
      </c>
      <c r="G154" s="10">
        <v>1</v>
      </c>
      <c r="H154">
        <v>680.84</v>
      </c>
      <c r="I154" s="6">
        <v>0.15</v>
      </c>
      <c r="J154" s="8">
        <v>61.85</v>
      </c>
      <c r="K154" s="4" t="s">
        <v>65</v>
      </c>
      <c r="L154" t="s">
        <v>21</v>
      </c>
      <c r="M154">
        <f t="shared" si="6"/>
        <v>102.126</v>
      </c>
      <c r="N154" s="6">
        <f t="shared" si="7"/>
        <v>9.0843663709535283E-2</v>
      </c>
      <c r="O154" s="6" t="str">
        <f t="shared" si="8"/>
        <v>Mar</v>
      </c>
    </row>
    <row r="155" spans="1:15">
      <c r="A155" t="s">
        <v>320</v>
      </c>
      <c r="B155" s="2">
        <v>45902</v>
      </c>
      <c r="C155" t="s">
        <v>321</v>
      </c>
      <c r="D155" t="s">
        <v>114</v>
      </c>
      <c r="E155" t="s">
        <v>69</v>
      </c>
      <c r="F155" t="s">
        <v>77</v>
      </c>
      <c r="G155" s="10">
        <v>5</v>
      </c>
      <c r="H155">
        <v>87001.27</v>
      </c>
      <c r="I155" s="6">
        <v>0.1</v>
      </c>
      <c r="J155" s="8">
        <v>22368.71</v>
      </c>
      <c r="K155" s="4" t="s">
        <v>42</v>
      </c>
      <c r="L155" t="s">
        <v>21</v>
      </c>
      <c r="M155">
        <f t="shared" si="6"/>
        <v>8700.1270000000004</v>
      </c>
      <c r="N155" s="6">
        <f t="shared" si="7"/>
        <v>0.25710785601175706</v>
      </c>
      <c r="O155" s="6" t="str">
        <f t="shared" si="8"/>
        <v>Sep</v>
      </c>
    </row>
    <row r="156" spans="1:15">
      <c r="A156" t="s">
        <v>322</v>
      </c>
      <c r="B156" s="2">
        <v>45936</v>
      </c>
      <c r="C156" t="s">
        <v>207</v>
      </c>
      <c r="D156" t="s">
        <v>95</v>
      </c>
      <c r="E156" t="s">
        <v>76</v>
      </c>
      <c r="F156" t="s">
        <v>41</v>
      </c>
      <c r="G156" s="10">
        <v>3</v>
      </c>
      <c r="H156">
        <v>39297.18</v>
      </c>
      <c r="I156" s="6">
        <v>0</v>
      </c>
      <c r="J156" s="8">
        <v>3327.15</v>
      </c>
      <c r="K156" s="4" t="s">
        <v>20</v>
      </c>
      <c r="L156" t="s">
        <v>36</v>
      </c>
      <c r="M156">
        <f t="shared" si="6"/>
        <v>0</v>
      </c>
      <c r="N156" s="6">
        <f t="shared" si="7"/>
        <v>8.466638064105364E-2</v>
      </c>
      <c r="O156" s="6" t="str">
        <f t="shared" si="8"/>
        <v>Oct</v>
      </c>
    </row>
    <row r="157" spans="1:15">
      <c r="A157" t="s">
        <v>323</v>
      </c>
      <c r="B157" s="2">
        <v>45800</v>
      </c>
      <c r="C157" t="s">
        <v>258</v>
      </c>
      <c r="D157" t="s">
        <v>45</v>
      </c>
      <c r="E157" t="s">
        <v>18</v>
      </c>
      <c r="F157" t="s">
        <v>41</v>
      </c>
      <c r="G157" s="10">
        <v>5</v>
      </c>
      <c r="H157">
        <v>6582.38</v>
      </c>
      <c r="I157" s="6">
        <v>0.2</v>
      </c>
      <c r="J157" s="8">
        <v>1113.81</v>
      </c>
      <c r="K157" s="4" t="s">
        <v>32</v>
      </c>
      <c r="L157" t="s">
        <v>36</v>
      </c>
      <c r="M157">
        <f t="shared" si="6"/>
        <v>1316.4760000000001</v>
      </c>
      <c r="N157" s="6">
        <f t="shared" si="7"/>
        <v>0.16921083255600558</v>
      </c>
      <c r="O157" s="6" t="str">
        <f t="shared" si="8"/>
        <v>May</v>
      </c>
    </row>
    <row r="158" spans="1:15">
      <c r="A158" t="s">
        <v>324</v>
      </c>
      <c r="B158" s="2">
        <v>45767</v>
      </c>
      <c r="C158" t="s">
        <v>325</v>
      </c>
      <c r="D158" t="s">
        <v>75</v>
      </c>
      <c r="E158" t="s">
        <v>76</v>
      </c>
      <c r="F158" t="s">
        <v>19</v>
      </c>
      <c r="G158" s="10">
        <v>2</v>
      </c>
      <c r="H158">
        <v>23020.99</v>
      </c>
      <c r="I158" s="6">
        <v>0</v>
      </c>
      <c r="J158" s="8">
        <v>2970.16</v>
      </c>
      <c r="K158" s="4" t="s">
        <v>27</v>
      </c>
      <c r="L158" t="s">
        <v>21</v>
      </c>
      <c r="M158">
        <f t="shared" si="6"/>
        <v>0</v>
      </c>
      <c r="N158" s="6">
        <f t="shared" si="7"/>
        <v>0.12901964685272005</v>
      </c>
      <c r="O158" s="6" t="str">
        <f t="shared" si="8"/>
        <v>Apr</v>
      </c>
    </row>
    <row r="159" spans="1:15">
      <c r="A159" t="s">
        <v>326</v>
      </c>
      <c r="B159" s="2">
        <v>45810</v>
      </c>
      <c r="C159" t="s">
        <v>176</v>
      </c>
      <c r="D159" t="s">
        <v>61</v>
      </c>
      <c r="E159" t="s">
        <v>40</v>
      </c>
      <c r="F159" t="s">
        <v>70</v>
      </c>
      <c r="G159" s="10">
        <v>4</v>
      </c>
      <c r="H159">
        <v>1872.74</v>
      </c>
      <c r="I159" s="6">
        <v>0.2</v>
      </c>
      <c r="J159" s="8">
        <v>215.49</v>
      </c>
      <c r="K159" s="4" t="s">
        <v>27</v>
      </c>
      <c r="L159" t="s">
        <v>21</v>
      </c>
      <c r="M159">
        <f t="shared" si="6"/>
        <v>374.548</v>
      </c>
      <c r="N159" s="6">
        <f t="shared" si="7"/>
        <v>0.11506669372149898</v>
      </c>
      <c r="O159" s="6" t="str">
        <f t="shared" si="8"/>
        <v>Jun</v>
      </c>
    </row>
    <row r="160" spans="1:15">
      <c r="A160" t="s">
        <v>327</v>
      </c>
      <c r="B160" s="2">
        <v>45764</v>
      </c>
      <c r="C160" t="s">
        <v>99</v>
      </c>
      <c r="D160" t="s">
        <v>24</v>
      </c>
      <c r="E160" t="s">
        <v>25</v>
      </c>
      <c r="F160" t="s">
        <v>26</v>
      </c>
      <c r="G160" s="10">
        <v>5</v>
      </c>
      <c r="H160">
        <v>22603.72</v>
      </c>
      <c r="I160" s="6">
        <v>0</v>
      </c>
      <c r="J160" s="8">
        <v>4720.32</v>
      </c>
      <c r="K160" s="4" t="s">
        <v>20</v>
      </c>
      <c r="L160" t="s">
        <v>21</v>
      </c>
      <c r="M160">
        <f t="shared" si="6"/>
        <v>0</v>
      </c>
      <c r="N160" s="6">
        <f t="shared" si="7"/>
        <v>0.20882934313466983</v>
      </c>
      <c r="O160" s="6" t="str">
        <f t="shared" si="8"/>
        <v>Apr</v>
      </c>
    </row>
    <row r="161" spans="1:15">
      <c r="A161" t="s">
        <v>328</v>
      </c>
      <c r="B161" s="2">
        <v>45709</v>
      </c>
      <c r="C161" t="s">
        <v>310</v>
      </c>
      <c r="D161" t="s">
        <v>146</v>
      </c>
      <c r="E161" t="s">
        <v>25</v>
      </c>
      <c r="F161" t="s">
        <v>26</v>
      </c>
      <c r="G161" s="10">
        <v>3</v>
      </c>
      <c r="H161">
        <v>11906.33</v>
      </c>
      <c r="I161" s="6">
        <v>0.15</v>
      </c>
      <c r="J161" s="8">
        <v>2216.52</v>
      </c>
      <c r="K161" s="4" t="s">
        <v>27</v>
      </c>
      <c r="L161" t="s">
        <v>21</v>
      </c>
      <c r="M161">
        <f t="shared" si="6"/>
        <v>1785.9494999999999</v>
      </c>
      <c r="N161" s="6">
        <f t="shared" si="7"/>
        <v>0.18616315858875068</v>
      </c>
      <c r="O161" s="6" t="str">
        <f t="shared" si="8"/>
        <v>Feb</v>
      </c>
    </row>
    <row r="162" spans="1:15">
      <c r="A162" t="s">
        <v>329</v>
      </c>
      <c r="B162" s="2">
        <v>46002</v>
      </c>
      <c r="C162" t="s">
        <v>145</v>
      </c>
      <c r="D162" t="s">
        <v>64</v>
      </c>
      <c r="E162" t="s">
        <v>40</v>
      </c>
      <c r="F162" t="s">
        <v>31</v>
      </c>
      <c r="G162" s="10">
        <v>3</v>
      </c>
      <c r="H162">
        <v>1344.49</v>
      </c>
      <c r="I162" s="6">
        <v>0.15</v>
      </c>
      <c r="J162" s="8">
        <v>132.97999999999999</v>
      </c>
      <c r="K162" s="4" t="s">
        <v>65</v>
      </c>
      <c r="L162" t="s">
        <v>21</v>
      </c>
      <c r="M162">
        <f t="shared" si="6"/>
        <v>201.67349999999999</v>
      </c>
      <c r="N162" s="6">
        <f t="shared" si="7"/>
        <v>9.8907392394142007E-2</v>
      </c>
      <c r="O162" s="6" t="str">
        <f t="shared" si="8"/>
        <v>Dec</v>
      </c>
    </row>
    <row r="163" spans="1:15">
      <c r="A163" t="s">
        <v>330</v>
      </c>
      <c r="B163" s="2">
        <v>45920</v>
      </c>
      <c r="C163" t="s">
        <v>38</v>
      </c>
      <c r="D163" t="s">
        <v>250</v>
      </c>
      <c r="E163" t="s">
        <v>76</v>
      </c>
      <c r="F163" t="s">
        <v>31</v>
      </c>
      <c r="G163" s="10">
        <v>1</v>
      </c>
      <c r="H163">
        <v>4732.71</v>
      </c>
      <c r="I163" s="6">
        <v>0.2</v>
      </c>
      <c r="J163" s="8">
        <v>857.74</v>
      </c>
      <c r="K163" s="4" t="s">
        <v>20</v>
      </c>
      <c r="L163" t="s">
        <v>21</v>
      </c>
      <c r="M163">
        <f t="shared" si="6"/>
        <v>946.54200000000003</v>
      </c>
      <c r="N163" s="6">
        <f t="shared" si="7"/>
        <v>0.18123654312222806</v>
      </c>
      <c r="O163" s="6" t="str">
        <f t="shared" si="8"/>
        <v>Sep</v>
      </c>
    </row>
    <row r="164" spans="1:15">
      <c r="A164" t="s">
        <v>331</v>
      </c>
      <c r="B164" s="2">
        <v>45928</v>
      </c>
      <c r="C164" t="s">
        <v>332</v>
      </c>
      <c r="D164" t="s">
        <v>191</v>
      </c>
      <c r="E164" t="s">
        <v>69</v>
      </c>
      <c r="F164" t="s">
        <v>19</v>
      </c>
      <c r="G164" s="10">
        <v>2</v>
      </c>
      <c r="H164">
        <v>24040.91</v>
      </c>
      <c r="I164" s="6">
        <v>0</v>
      </c>
      <c r="J164" s="8">
        <v>5499.8</v>
      </c>
      <c r="K164" s="4" t="s">
        <v>65</v>
      </c>
      <c r="L164" t="s">
        <v>36</v>
      </c>
      <c r="M164">
        <f t="shared" si="6"/>
        <v>0</v>
      </c>
      <c r="N164" s="6">
        <f t="shared" si="7"/>
        <v>0.22876837856803259</v>
      </c>
      <c r="O164" s="6" t="str">
        <f t="shared" si="8"/>
        <v>Sep</v>
      </c>
    </row>
    <row r="165" spans="1:15">
      <c r="A165" t="s">
        <v>333</v>
      </c>
      <c r="B165" s="2">
        <v>45809</v>
      </c>
      <c r="C165" t="s">
        <v>334</v>
      </c>
      <c r="D165" t="s">
        <v>64</v>
      </c>
      <c r="E165" t="s">
        <v>40</v>
      </c>
      <c r="F165" t="s">
        <v>35</v>
      </c>
      <c r="G165" s="10">
        <v>3</v>
      </c>
      <c r="H165">
        <v>6170.65</v>
      </c>
      <c r="I165" s="6">
        <v>0.05</v>
      </c>
      <c r="J165" s="8">
        <v>1403.39</v>
      </c>
      <c r="K165" s="4" t="s">
        <v>65</v>
      </c>
      <c r="L165" t="s">
        <v>21</v>
      </c>
      <c r="M165">
        <f t="shared" si="6"/>
        <v>308.53250000000003</v>
      </c>
      <c r="N165" s="6">
        <f t="shared" si="7"/>
        <v>0.22742984936757071</v>
      </c>
      <c r="O165" s="6" t="str">
        <f t="shared" si="8"/>
        <v>Jun</v>
      </c>
    </row>
    <row r="166" spans="1:15">
      <c r="A166" t="s">
        <v>335</v>
      </c>
      <c r="B166" s="2">
        <v>45883</v>
      </c>
      <c r="C166" t="s">
        <v>240</v>
      </c>
      <c r="D166" t="s">
        <v>50</v>
      </c>
      <c r="E166" t="s">
        <v>40</v>
      </c>
      <c r="F166" t="s">
        <v>70</v>
      </c>
      <c r="G166" s="10">
        <v>1</v>
      </c>
      <c r="H166">
        <v>737.66</v>
      </c>
      <c r="I166" s="6">
        <v>0</v>
      </c>
      <c r="J166" s="8">
        <v>78.760000000000005</v>
      </c>
      <c r="K166" s="4" t="s">
        <v>42</v>
      </c>
      <c r="L166" t="s">
        <v>36</v>
      </c>
      <c r="M166">
        <f t="shared" si="6"/>
        <v>0</v>
      </c>
      <c r="N166" s="6">
        <f t="shared" si="7"/>
        <v>0.10677005666567255</v>
      </c>
      <c r="O166" s="6" t="str">
        <f t="shared" si="8"/>
        <v>Aug</v>
      </c>
    </row>
    <row r="167" spans="1:15">
      <c r="A167" t="s">
        <v>336</v>
      </c>
      <c r="B167" s="2">
        <v>45734</v>
      </c>
      <c r="C167" t="s">
        <v>310</v>
      </c>
      <c r="D167" t="s">
        <v>146</v>
      </c>
      <c r="E167" t="s">
        <v>25</v>
      </c>
      <c r="F167" t="s">
        <v>107</v>
      </c>
      <c r="G167" s="10">
        <v>5</v>
      </c>
      <c r="H167">
        <v>2873.68</v>
      </c>
      <c r="I167" s="6">
        <v>0</v>
      </c>
      <c r="J167" s="8">
        <v>838.7</v>
      </c>
      <c r="K167" s="4" t="s">
        <v>27</v>
      </c>
      <c r="L167" t="s">
        <v>21</v>
      </c>
      <c r="M167">
        <f t="shared" si="6"/>
        <v>0</v>
      </c>
      <c r="N167" s="6">
        <f t="shared" si="7"/>
        <v>0.29185573898276779</v>
      </c>
      <c r="O167" s="6" t="str">
        <f t="shared" si="8"/>
        <v>Mar</v>
      </c>
    </row>
    <row r="168" spans="1:15">
      <c r="A168" t="s">
        <v>337</v>
      </c>
      <c r="B168" s="2">
        <v>45845</v>
      </c>
      <c r="C168" t="s">
        <v>284</v>
      </c>
      <c r="D168" t="s">
        <v>50</v>
      </c>
      <c r="E168" t="s">
        <v>40</v>
      </c>
      <c r="F168" t="s">
        <v>77</v>
      </c>
      <c r="G168" s="10">
        <v>3</v>
      </c>
      <c r="H168">
        <v>3616.3</v>
      </c>
      <c r="I168" s="6">
        <v>0.25</v>
      </c>
      <c r="J168" s="8">
        <v>709.8</v>
      </c>
      <c r="K168" s="4" t="s">
        <v>42</v>
      </c>
      <c r="L168" t="s">
        <v>36</v>
      </c>
      <c r="M168">
        <f t="shared" si="6"/>
        <v>904.07500000000005</v>
      </c>
      <c r="N168" s="6">
        <f t="shared" si="7"/>
        <v>0.19627796366451897</v>
      </c>
      <c r="O168" s="6" t="str">
        <f t="shared" si="8"/>
        <v>Jul</v>
      </c>
    </row>
    <row r="169" spans="1:15">
      <c r="A169" t="s">
        <v>338</v>
      </c>
      <c r="B169" s="2">
        <v>45730</v>
      </c>
      <c r="C169" t="s">
        <v>34</v>
      </c>
      <c r="D169" t="s">
        <v>90</v>
      </c>
      <c r="E169" t="s">
        <v>69</v>
      </c>
      <c r="F169" t="s">
        <v>26</v>
      </c>
      <c r="G169" s="10">
        <v>1</v>
      </c>
      <c r="H169">
        <v>15351.34</v>
      </c>
      <c r="I169" s="6">
        <v>0</v>
      </c>
      <c r="J169" s="8">
        <v>3040.76</v>
      </c>
      <c r="K169" s="4" t="s">
        <v>27</v>
      </c>
      <c r="L169" t="s">
        <v>21</v>
      </c>
      <c r="M169">
        <f t="shared" si="6"/>
        <v>0</v>
      </c>
      <c r="N169" s="6">
        <f t="shared" si="7"/>
        <v>0.19807782252233358</v>
      </c>
      <c r="O169" s="6" t="str">
        <f t="shared" si="8"/>
        <v>Mar</v>
      </c>
    </row>
    <row r="170" spans="1:15">
      <c r="A170" t="s">
        <v>339</v>
      </c>
      <c r="B170" s="2">
        <v>45806</v>
      </c>
      <c r="C170" t="s">
        <v>340</v>
      </c>
      <c r="D170" t="s">
        <v>84</v>
      </c>
      <c r="E170" t="s">
        <v>18</v>
      </c>
      <c r="F170" t="s">
        <v>77</v>
      </c>
      <c r="G170" s="10">
        <v>2</v>
      </c>
      <c r="H170">
        <v>4733.6499999999996</v>
      </c>
      <c r="I170" s="6">
        <v>0.15</v>
      </c>
      <c r="J170" s="8">
        <v>653.4</v>
      </c>
      <c r="K170" s="4" t="s">
        <v>27</v>
      </c>
      <c r="L170" t="s">
        <v>21</v>
      </c>
      <c r="M170">
        <f t="shared" si="6"/>
        <v>710.0474999999999</v>
      </c>
      <c r="N170" s="6">
        <f t="shared" si="7"/>
        <v>0.13803301891774847</v>
      </c>
      <c r="O170" s="6" t="str">
        <f t="shared" si="8"/>
        <v>May</v>
      </c>
    </row>
    <row r="171" spans="1:15">
      <c r="A171" t="s">
        <v>341</v>
      </c>
      <c r="B171" s="2">
        <v>46011</v>
      </c>
      <c r="C171" t="s">
        <v>342</v>
      </c>
      <c r="D171" t="s">
        <v>126</v>
      </c>
      <c r="E171" t="s">
        <v>76</v>
      </c>
      <c r="F171" t="s">
        <v>107</v>
      </c>
      <c r="G171" s="10">
        <v>4</v>
      </c>
      <c r="H171">
        <v>4665.0200000000004</v>
      </c>
      <c r="I171" s="6">
        <v>0.15</v>
      </c>
      <c r="J171" s="8">
        <v>284.86</v>
      </c>
      <c r="K171" s="4" t="s">
        <v>65</v>
      </c>
      <c r="L171" t="s">
        <v>36</v>
      </c>
      <c r="M171">
        <f t="shared" si="6"/>
        <v>699.75300000000004</v>
      </c>
      <c r="N171" s="6">
        <f t="shared" si="7"/>
        <v>6.1062975078349069E-2</v>
      </c>
      <c r="O171" s="6" t="str">
        <f t="shared" si="8"/>
        <v>Dec</v>
      </c>
    </row>
    <row r="172" spans="1:15">
      <c r="A172" t="s">
        <v>343</v>
      </c>
      <c r="B172" s="2">
        <v>45669</v>
      </c>
      <c r="C172" t="s">
        <v>237</v>
      </c>
      <c r="D172" t="s">
        <v>126</v>
      </c>
      <c r="E172" t="s">
        <v>76</v>
      </c>
      <c r="F172" t="s">
        <v>31</v>
      </c>
      <c r="G172" s="10">
        <v>1</v>
      </c>
      <c r="H172">
        <v>4133.01</v>
      </c>
      <c r="I172" s="6">
        <v>0.15</v>
      </c>
      <c r="J172" s="8">
        <v>699.2</v>
      </c>
      <c r="K172" s="4" t="s">
        <v>42</v>
      </c>
      <c r="L172" t="s">
        <v>21</v>
      </c>
      <c r="M172">
        <f t="shared" si="6"/>
        <v>619.95150000000001</v>
      </c>
      <c r="N172" s="6">
        <f t="shared" si="7"/>
        <v>0.16917452413616227</v>
      </c>
      <c r="O172" s="6" t="str">
        <f t="shared" si="8"/>
        <v>Jan</v>
      </c>
    </row>
    <row r="173" spans="1:15">
      <c r="A173" t="s">
        <v>344</v>
      </c>
      <c r="B173" s="2">
        <v>45905</v>
      </c>
      <c r="C173" t="s">
        <v>104</v>
      </c>
      <c r="D173" t="s">
        <v>64</v>
      </c>
      <c r="E173" t="s">
        <v>40</v>
      </c>
      <c r="F173" t="s">
        <v>35</v>
      </c>
      <c r="G173" s="10">
        <v>4</v>
      </c>
      <c r="H173">
        <v>2394.6799999999998</v>
      </c>
      <c r="I173" s="6">
        <v>0.25</v>
      </c>
      <c r="J173" s="8">
        <v>406.3</v>
      </c>
      <c r="K173" s="4" t="s">
        <v>65</v>
      </c>
      <c r="L173" t="s">
        <v>21</v>
      </c>
      <c r="M173">
        <f t="shared" si="6"/>
        <v>598.66999999999996</v>
      </c>
      <c r="N173" s="6">
        <f t="shared" si="7"/>
        <v>0.16966776354251928</v>
      </c>
      <c r="O173" s="6" t="str">
        <f t="shared" si="8"/>
        <v>Sep</v>
      </c>
    </row>
    <row r="174" spans="1:15">
      <c r="A174" t="s">
        <v>345</v>
      </c>
      <c r="B174" s="2">
        <v>45949</v>
      </c>
      <c r="C174" t="s">
        <v>165</v>
      </c>
      <c r="D174" t="s">
        <v>217</v>
      </c>
      <c r="E174" t="s">
        <v>18</v>
      </c>
      <c r="F174" t="s">
        <v>70</v>
      </c>
      <c r="G174" s="10">
        <v>1</v>
      </c>
      <c r="H174">
        <v>851.17</v>
      </c>
      <c r="I174" s="6">
        <v>0.2</v>
      </c>
      <c r="J174" s="8">
        <v>132.55000000000001</v>
      </c>
      <c r="K174" s="4" t="s">
        <v>65</v>
      </c>
      <c r="L174" t="s">
        <v>21</v>
      </c>
      <c r="M174">
        <f t="shared" si="6"/>
        <v>170.23400000000001</v>
      </c>
      <c r="N174" s="6">
        <f t="shared" si="7"/>
        <v>0.15572682307882094</v>
      </c>
      <c r="O174" s="6" t="str">
        <f t="shared" si="8"/>
        <v>Oct</v>
      </c>
    </row>
    <row r="175" spans="1:15">
      <c r="A175" t="s">
        <v>346</v>
      </c>
      <c r="B175" s="2">
        <v>45847</v>
      </c>
      <c r="C175" t="s">
        <v>204</v>
      </c>
      <c r="D175" t="s">
        <v>53</v>
      </c>
      <c r="E175" t="s">
        <v>25</v>
      </c>
      <c r="F175" t="s">
        <v>77</v>
      </c>
      <c r="G175" s="10">
        <v>2</v>
      </c>
      <c r="H175">
        <v>4684.1899999999996</v>
      </c>
      <c r="I175" s="6">
        <v>0.25</v>
      </c>
      <c r="J175" s="8">
        <v>1229.07</v>
      </c>
      <c r="K175" s="4" t="s">
        <v>42</v>
      </c>
      <c r="L175" t="s">
        <v>21</v>
      </c>
      <c r="M175">
        <f t="shared" si="6"/>
        <v>1171.0474999999999</v>
      </c>
      <c r="N175" s="6">
        <f t="shared" si="7"/>
        <v>0.26238688012228367</v>
      </c>
      <c r="O175" s="6" t="str">
        <f t="shared" si="8"/>
        <v>Jul</v>
      </c>
    </row>
    <row r="176" spans="1:15">
      <c r="A176" t="s">
        <v>347</v>
      </c>
      <c r="B176" s="2">
        <v>45699</v>
      </c>
      <c r="C176" t="s">
        <v>29</v>
      </c>
      <c r="D176" t="s">
        <v>250</v>
      </c>
      <c r="E176" t="s">
        <v>76</v>
      </c>
      <c r="F176" t="s">
        <v>77</v>
      </c>
      <c r="G176" s="10">
        <v>2</v>
      </c>
      <c r="H176">
        <v>14407.91</v>
      </c>
      <c r="I176" s="6">
        <v>0.25</v>
      </c>
      <c r="J176" s="8">
        <v>3435.31</v>
      </c>
      <c r="K176" s="4" t="s">
        <v>32</v>
      </c>
      <c r="L176" t="s">
        <v>21</v>
      </c>
      <c r="M176">
        <f t="shared" si="6"/>
        <v>3601.9775</v>
      </c>
      <c r="N176" s="6">
        <f t="shared" si="7"/>
        <v>0.23843222230011155</v>
      </c>
      <c r="O176" s="6" t="str">
        <f t="shared" si="8"/>
        <v>Feb</v>
      </c>
    </row>
    <row r="177" spans="1:15">
      <c r="A177" t="s">
        <v>348</v>
      </c>
      <c r="B177" s="2">
        <v>45820</v>
      </c>
      <c r="C177" t="s">
        <v>60</v>
      </c>
      <c r="D177" t="s">
        <v>30</v>
      </c>
      <c r="E177" t="s">
        <v>18</v>
      </c>
      <c r="F177" t="s">
        <v>19</v>
      </c>
      <c r="G177" s="10">
        <v>2</v>
      </c>
      <c r="H177">
        <v>1411.93</v>
      </c>
      <c r="I177" s="6">
        <v>0.1</v>
      </c>
      <c r="J177" s="8">
        <v>165.36</v>
      </c>
      <c r="K177" s="4" t="s">
        <v>27</v>
      </c>
      <c r="L177" t="s">
        <v>21</v>
      </c>
      <c r="M177">
        <f t="shared" si="6"/>
        <v>141.19300000000001</v>
      </c>
      <c r="N177" s="6">
        <f t="shared" si="7"/>
        <v>0.11711628763465612</v>
      </c>
      <c r="O177" s="6" t="str">
        <f t="shared" si="8"/>
        <v>Jun</v>
      </c>
    </row>
    <row r="178" spans="1:15">
      <c r="A178" t="s">
        <v>349</v>
      </c>
      <c r="B178" s="2">
        <v>45946</v>
      </c>
      <c r="C178" t="s">
        <v>350</v>
      </c>
      <c r="D178" t="s">
        <v>114</v>
      </c>
      <c r="E178" t="s">
        <v>69</v>
      </c>
      <c r="F178" t="s">
        <v>107</v>
      </c>
      <c r="G178" s="10">
        <v>4</v>
      </c>
      <c r="H178">
        <v>158916.06</v>
      </c>
      <c r="I178" s="6">
        <v>0</v>
      </c>
      <c r="J178" s="8">
        <v>29047.19</v>
      </c>
      <c r="K178" s="4" t="s">
        <v>42</v>
      </c>
      <c r="L178" t="s">
        <v>21</v>
      </c>
      <c r="M178">
        <f t="shared" si="6"/>
        <v>0</v>
      </c>
      <c r="N178" s="6">
        <f t="shared" si="7"/>
        <v>0.18278322530775051</v>
      </c>
      <c r="O178" s="6" t="str">
        <f t="shared" si="8"/>
        <v>Oct</v>
      </c>
    </row>
    <row r="179" spans="1:15">
      <c r="A179" t="s">
        <v>351</v>
      </c>
      <c r="B179" s="2">
        <v>45774</v>
      </c>
      <c r="C179" t="s">
        <v>207</v>
      </c>
      <c r="D179" t="s">
        <v>68</v>
      </c>
      <c r="E179" t="s">
        <v>69</v>
      </c>
      <c r="F179" t="s">
        <v>107</v>
      </c>
      <c r="G179" s="10">
        <v>2</v>
      </c>
      <c r="H179">
        <v>9835.66</v>
      </c>
      <c r="I179" s="6">
        <v>0.05</v>
      </c>
      <c r="J179" s="8">
        <v>1790.5</v>
      </c>
      <c r="K179" s="4" t="s">
        <v>42</v>
      </c>
      <c r="L179" t="s">
        <v>21</v>
      </c>
      <c r="M179">
        <f t="shared" si="6"/>
        <v>491.78300000000002</v>
      </c>
      <c r="N179" s="6">
        <f t="shared" si="7"/>
        <v>0.18204167285164391</v>
      </c>
      <c r="O179" s="6" t="str">
        <f t="shared" si="8"/>
        <v>Apr</v>
      </c>
    </row>
    <row r="180" spans="1:15">
      <c r="A180" t="s">
        <v>352</v>
      </c>
      <c r="B180" s="2">
        <v>45991</v>
      </c>
      <c r="C180" t="s">
        <v>270</v>
      </c>
      <c r="D180" t="s">
        <v>17</v>
      </c>
      <c r="E180" t="s">
        <v>18</v>
      </c>
      <c r="F180" t="s">
        <v>70</v>
      </c>
      <c r="G180" s="10">
        <v>4</v>
      </c>
      <c r="H180">
        <v>6358.49</v>
      </c>
      <c r="I180" s="6">
        <v>0.15</v>
      </c>
      <c r="J180" s="8">
        <v>1699.66</v>
      </c>
      <c r="K180" s="4" t="s">
        <v>27</v>
      </c>
      <c r="L180" t="s">
        <v>21</v>
      </c>
      <c r="M180">
        <f t="shared" si="6"/>
        <v>953.7734999999999</v>
      </c>
      <c r="N180" s="6">
        <f t="shared" si="7"/>
        <v>0.26730560243076584</v>
      </c>
      <c r="O180" s="6" t="str">
        <f t="shared" si="8"/>
        <v>Nov</v>
      </c>
    </row>
    <row r="181" spans="1:15">
      <c r="A181" t="s">
        <v>353</v>
      </c>
      <c r="B181" s="2">
        <v>45923</v>
      </c>
      <c r="C181" t="s">
        <v>354</v>
      </c>
      <c r="D181" t="s">
        <v>53</v>
      </c>
      <c r="E181" t="s">
        <v>25</v>
      </c>
      <c r="F181" t="s">
        <v>31</v>
      </c>
      <c r="G181" s="10">
        <v>1</v>
      </c>
      <c r="H181">
        <v>516.03</v>
      </c>
      <c r="I181" s="6">
        <v>0.1</v>
      </c>
      <c r="J181" s="8">
        <v>114.12</v>
      </c>
      <c r="K181" s="4" t="s">
        <v>65</v>
      </c>
      <c r="L181" t="s">
        <v>21</v>
      </c>
      <c r="M181">
        <f t="shared" si="6"/>
        <v>51.603000000000002</v>
      </c>
      <c r="N181" s="6">
        <f t="shared" si="7"/>
        <v>0.22114993314342191</v>
      </c>
      <c r="O181" s="6" t="str">
        <f t="shared" si="8"/>
        <v>Sep</v>
      </c>
    </row>
    <row r="182" spans="1:15">
      <c r="A182" t="s">
        <v>355</v>
      </c>
      <c r="B182" s="2">
        <v>45986</v>
      </c>
      <c r="C182" t="s">
        <v>356</v>
      </c>
      <c r="D182" t="s">
        <v>72</v>
      </c>
      <c r="E182" t="s">
        <v>69</v>
      </c>
      <c r="F182" t="s">
        <v>41</v>
      </c>
      <c r="G182" s="10">
        <v>4</v>
      </c>
      <c r="H182">
        <v>72972.95</v>
      </c>
      <c r="I182" s="6">
        <v>0.1</v>
      </c>
      <c r="J182" s="8">
        <v>6672.93</v>
      </c>
      <c r="K182" s="4" t="s">
        <v>42</v>
      </c>
      <c r="L182" t="s">
        <v>21</v>
      </c>
      <c r="M182">
        <f t="shared" si="6"/>
        <v>7297.2950000000001</v>
      </c>
      <c r="N182" s="6">
        <f t="shared" si="7"/>
        <v>9.1443884343445081E-2</v>
      </c>
      <c r="O182" s="6" t="str">
        <f t="shared" si="8"/>
        <v>Nov</v>
      </c>
    </row>
    <row r="183" spans="1:15">
      <c r="A183" t="s">
        <v>357</v>
      </c>
      <c r="B183" s="2">
        <v>45965</v>
      </c>
      <c r="C183" t="s">
        <v>358</v>
      </c>
      <c r="D183" t="s">
        <v>114</v>
      </c>
      <c r="E183" t="s">
        <v>69</v>
      </c>
      <c r="F183" t="s">
        <v>107</v>
      </c>
      <c r="G183" s="10">
        <v>5</v>
      </c>
      <c r="H183">
        <v>173629.98</v>
      </c>
      <c r="I183" s="6">
        <v>0.15</v>
      </c>
      <c r="J183" s="8">
        <v>41252.89</v>
      </c>
      <c r="K183" s="4" t="s">
        <v>42</v>
      </c>
      <c r="L183" t="s">
        <v>21</v>
      </c>
      <c r="M183">
        <f t="shared" si="6"/>
        <v>26044.496999999999</v>
      </c>
      <c r="N183" s="6">
        <f t="shared" si="7"/>
        <v>0.2375908238888238</v>
      </c>
      <c r="O183" s="6" t="str">
        <f t="shared" si="8"/>
        <v>Nov</v>
      </c>
    </row>
    <row r="184" spans="1:15">
      <c r="A184" t="s">
        <v>359</v>
      </c>
      <c r="B184" s="2">
        <v>45812</v>
      </c>
      <c r="C184" t="s">
        <v>226</v>
      </c>
      <c r="D184" t="s">
        <v>56</v>
      </c>
      <c r="E184" t="s">
        <v>40</v>
      </c>
      <c r="F184" t="s">
        <v>31</v>
      </c>
      <c r="G184" s="10">
        <v>4</v>
      </c>
      <c r="H184">
        <v>4267.7700000000004</v>
      </c>
      <c r="I184" s="6">
        <v>0.2</v>
      </c>
      <c r="J184" s="8">
        <v>540.32000000000005</v>
      </c>
      <c r="K184" s="4" t="s">
        <v>27</v>
      </c>
      <c r="L184" t="s">
        <v>36</v>
      </c>
      <c r="M184">
        <f t="shared" si="6"/>
        <v>853.55400000000009</v>
      </c>
      <c r="N184" s="6">
        <f t="shared" si="7"/>
        <v>0.12660476080013683</v>
      </c>
      <c r="O184" s="6" t="str">
        <f t="shared" si="8"/>
        <v>Jun</v>
      </c>
    </row>
    <row r="185" spans="1:15">
      <c r="A185" t="s">
        <v>360</v>
      </c>
      <c r="B185" s="2">
        <v>45971</v>
      </c>
      <c r="C185" t="s">
        <v>361</v>
      </c>
      <c r="D185" t="s">
        <v>61</v>
      </c>
      <c r="E185" t="s">
        <v>40</v>
      </c>
      <c r="F185" t="s">
        <v>107</v>
      </c>
      <c r="G185" s="10">
        <v>5</v>
      </c>
      <c r="H185">
        <v>2936.82</v>
      </c>
      <c r="I185" s="6">
        <v>0.2</v>
      </c>
      <c r="J185" s="8">
        <v>700.06</v>
      </c>
      <c r="K185" s="4" t="s">
        <v>27</v>
      </c>
      <c r="L185" t="s">
        <v>36</v>
      </c>
      <c r="M185">
        <f t="shared" si="6"/>
        <v>587.36400000000003</v>
      </c>
      <c r="N185" s="6">
        <f t="shared" si="7"/>
        <v>0.23837347879679377</v>
      </c>
      <c r="O185" s="6" t="str">
        <f t="shared" si="8"/>
        <v>Nov</v>
      </c>
    </row>
    <row r="186" spans="1:15">
      <c r="A186" t="s">
        <v>362</v>
      </c>
      <c r="B186" s="2">
        <v>45848</v>
      </c>
      <c r="C186" t="s">
        <v>102</v>
      </c>
      <c r="D186" t="s">
        <v>30</v>
      </c>
      <c r="E186" t="s">
        <v>18</v>
      </c>
      <c r="F186" t="s">
        <v>26</v>
      </c>
      <c r="G186" s="10">
        <v>5</v>
      </c>
      <c r="H186">
        <v>13634.23</v>
      </c>
      <c r="I186" s="6">
        <v>0.2</v>
      </c>
      <c r="J186" s="8">
        <v>2473.4</v>
      </c>
      <c r="K186" s="4" t="s">
        <v>42</v>
      </c>
      <c r="L186" t="s">
        <v>21</v>
      </c>
      <c r="M186">
        <f t="shared" si="6"/>
        <v>2726.846</v>
      </c>
      <c r="N186" s="6">
        <f t="shared" si="7"/>
        <v>0.18141105144918343</v>
      </c>
      <c r="O186" s="6" t="str">
        <f t="shared" si="8"/>
        <v>Jul</v>
      </c>
    </row>
    <row r="187" spans="1:15">
      <c r="A187" t="s">
        <v>363</v>
      </c>
      <c r="B187" s="2">
        <v>45699</v>
      </c>
      <c r="C187" t="s">
        <v>204</v>
      </c>
      <c r="D187" t="s">
        <v>58</v>
      </c>
      <c r="E187" t="s">
        <v>25</v>
      </c>
      <c r="F187" t="s">
        <v>41</v>
      </c>
      <c r="G187" s="10">
        <v>5</v>
      </c>
      <c r="H187">
        <v>23971.22</v>
      </c>
      <c r="I187" s="6">
        <v>0</v>
      </c>
      <c r="J187" s="8">
        <v>6201.29</v>
      </c>
      <c r="K187" s="4" t="s">
        <v>65</v>
      </c>
      <c r="L187" t="s">
        <v>21</v>
      </c>
      <c r="M187">
        <f t="shared" si="6"/>
        <v>0</v>
      </c>
      <c r="N187" s="6">
        <f t="shared" si="7"/>
        <v>0.25869730451766743</v>
      </c>
      <c r="O187" s="6" t="str">
        <f t="shared" si="8"/>
        <v>Feb</v>
      </c>
    </row>
    <row r="188" spans="1:15">
      <c r="A188" t="s">
        <v>364</v>
      </c>
      <c r="B188" s="2">
        <v>45667</v>
      </c>
      <c r="C188" t="s">
        <v>224</v>
      </c>
      <c r="D188" t="s">
        <v>17</v>
      </c>
      <c r="E188" t="s">
        <v>18</v>
      </c>
      <c r="F188" t="s">
        <v>31</v>
      </c>
      <c r="G188" s="10">
        <v>2</v>
      </c>
      <c r="H188">
        <v>588.23</v>
      </c>
      <c r="I188" s="6">
        <v>0.15</v>
      </c>
      <c r="J188" s="8">
        <v>128.74</v>
      </c>
      <c r="K188" s="4" t="s">
        <v>27</v>
      </c>
      <c r="L188" t="s">
        <v>21</v>
      </c>
      <c r="M188">
        <f t="shared" si="6"/>
        <v>88.234499999999997</v>
      </c>
      <c r="N188" s="6">
        <f t="shared" si="7"/>
        <v>0.21885996973972766</v>
      </c>
      <c r="O188" s="6" t="str">
        <f t="shared" si="8"/>
        <v>Jan</v>
      </c>
    </row>
    <row r="189" spans="1:15">
      <c r="A189" t="s">
        <v>365</v>
      </c>
      <c r="B189" s="2">
        <v>46000</v>
      </c>
      <c r="C189" t="s">
        <v>102</v>
      </c>
      <c r="D189" t="s">
        <v>68</v>
      </c>
      <c r="E189" t="s">
        <v>69</v>
      </c>
      <c r="F189" t="s">
        <v>107</v>
      </c>
      <c r="G189" s="10">
        <v>5</v>
      </c>
      <c r="H189">
        <v>44373.61</v>
      </c>
      <c r="I189" s="6">
        <v>0.15</v>
      </c>
      <c r="J189" s="8">
        <v>7342.93</v>
      </c>
      <c r="K189" s="4" t="s">
        <v>65</v>
      </c>
      <c r="L189" t="s">
        <v>21</v>
      </c>
      <c r="M189">
        <f t="shared" si="6"/>
        <v>6656.0415000000003</v>
      </c>
      <c r="N189" s="6">
        <f t="shared" si="7"/>
        <v>0.16547966234886005</v>
      </c>
      <c r="O189" s="6" t="str">
        <f t="shared" si="8"/>
        <v>Dec</v>
      </c>
    </row>
    <row r="190" spans="1:15">
      <c r="A190" t="s">
        <v>366</v>
      </c>
      <c r="B190" s="2">
        <v>45809</v>
      </c>
      <c r="C190" t="s">
        <v>312</v>
      </c>
      <c r="D190" t="s">
        <v>114</v>
      </c>
      <c r="E190" t="s">
        <v>69</v>
      </c>
      <c r="F190" t="s">
        <v>26</v>
      </c>
      <c r="G190" s="10">
        <v>1</v>
      </c>
      <c r="H190">
        <v>49765.91</v>
      </c>
      <c r="I190" s="6">
        <v>0.2</v>
      </c>
      <c r="J190" s="8">
        <v>7305.29</v>
      </c>
      <c r="K190" s="4" t="s">
        <v>32</v>
      </c>
      <c r="L190" t="s">
        <v>21</v>
      </c>
      <c r="M190">
        <f t="shared" si="6"/>
        <v>9953.1820000000007</v>
      </c>
      <c r="N190" s="6">
        <f t="shared" si="7"/>
        <v>0.14679305572830878</v>
      </c>
      <c r="O190" s="6" t="str">
        <f t="shared" si="8"/>
        <v>Jun</v>
      </c>
    </row>
    <row r="191" spans="1:15">
      <c r="A191" t="s">
        <v>367</v>
      </c>
      <c r="B191" s="2">
        <v>45708</v>
      </c>
      <c r="C191" t="s">
        <v>63</v>
      </c>
      <c r="D191" t="s">
        <v>53</v>
      </c>
      <c r="E191" t="s">
        <v>25</v>
      </c>
      <c r="F191" t="s">
        <v>19</v>
      </c>
      <c r="G191" s="10">
        <v>3</v>
      </c>
      <c r="H191">
        <v>5368.84</v>
      </c>
      <c r="I191" s="6">
        <v>0.2</v>
      </c>
      <c r="J191" s="8">
        <v>1045.27</v>
      </c>
      <c r="K191" s="4" t="s">
        <v>27</v>
      </c>
      <c r="L191" t="s">
        <v>36</v>
      </c>
      <c r="M191">
        <f t="shared" si="6"/>
        <v>1073.768</v>
      </c>
      <c r="N191" s="6">
        <f t="shared" si="7"/>
        <v>0.19469196325463228</v>
      </c>
      <c r="O191" s="6" t="str">
        <f t="shared" si="8"/>
        <v>Feb</v>
      </c>
    </row>
    <row r="192" spans="1:15">
      <c r="A192" t="s">
        <v>368</v>
      </c>
      <c r="B192" s="2">
        <v>45913</v>
      </c>
      <c r="C192" t="s">
        <v>187</v>
      </c>
      <c r="D192" t="s">
        <v>30</v>
      </c>
      <c r="E192" t="s">
        <v>18</v>
      </c>
      <c r="F192" t="s">
        <v>26</v>
      </c>
      <c r="G192" s="10">
        <v>1</v>
      </c>
      <c r="H192">
        <v>3713.33</v>
      </c>
      <c r="I192" s="6">
        <v>0.05</v>
      </c>
      <c r="J192" s="8">
        <v>267.64999999999998</v>
      </c>
      <c r="K192" s="4" t="s">
        <v>65</v>
      </c>
      <c r="L192" t="s">
        <v>21</v>
      </c>
      <c r="M192">
        <f t="shared" si="6"/>
        <v>185.66650000000001</v>
      </c>
      <c r="N192" s="6">
        <f t="shared" si="7"/>
        <v>7.2078161650055331E-2</v>
      </c>
      <c r="O192" s="6" t="str">
        <f t="shared" si="8"/>
        <v>Sep</v>
      </c>
    </row>
    <row r="193" spans="1:15">
      <c r="A193" t="s">
        <v>369</v>
      </c>
      <c r="B193" s="2">
        <v>45806</v>
      </c>
      <c r="C193" t="s">
        <v>190</v>
      </c>
      <c r="D193" t="s">
        <v>95</v>
      </c>
      <c r="E193" t="s">
        <v>76</v>
      </c>
      <c r="F193" t="s">
        <v>31</v>
      </c>
      <c r="G193" s="10">
        <v>4</v>
      </c>
      <c r="H193">
        <v>18034.490000000002</v>
      </c>
      <c r="I193" s="6">
        <v>0.05</v>
      </c>
      <c r="J193" s="8">
        <v>3410.63</v>
      </c>
      <c r="K193" s="4" t="s">
        <v>42</v>
      </c>
      <c r="L193" t="s">
        <v>36</v>
      </c>
      <c r="M193">
        <f t="shared" si="6"/>
        <v>901.72450000000015</v>
      </c>
      <c r="N193" s="6">
        <f t="shared" si="7"/>
        <v>0.18911707511551476</v>
      </c>
      <c r="O193" s="6" t="str">
        <f t="shared" si="8"/>
        <v>May</v>
      </c>
    </row>
    <row r="194" spans="1:15">
      <c r="A194" t="s">
        <v>370</v>
      </c>
      <c r="B194" s="2">
        <v>45840</v>
      </c>
      <c r="C194" t="s">
        <v>371</v>
      </c>
      <c r="D194" t="s">
        <v>126</v>
      </c>
      <c r="E194" t="s">
        <v>76</v>
      </c>
      <c r="F194" t="s">
        <v>35</v>
      </c>
      <c r="G194" s="10">
        <v>1</v>
      </c>
      <c r="H194">
        <v>5306.78</v>
      </c>
      <c r="I194" s="6">
        <v>0.1</v>
      </c>
      <c r="J194" s="8">
        <v>984.27</v>
      </c>
      <c r="K194" s="4" t="s">
        <v>42</v>
      </c>
      <c r="L194" t="s">
        <v>36</v>
      </c>
      <c r="M194">
        <f t="shared" si="6"/>
        <v>530.678</v>
      </c>
      <c r="N194" s="6">
        <f t="shared" si="7"/>
        <v>0.18547405394608407</v>
      </c>
      <c r="O194" s="6" t="str">
        <f t="shared" si="8"/>
        <v>Jul</v>
      </c>
    </row>
    <row r="195" spans="1:15">
      <c r="A195" t="s">
        <v>372</v>
      </c>
      <c r="B195" s="2">
        <v>45831</v>
      </c>
      <c r="C195" t="s">
        <v>373</v>
      </c>
      <c r="D195" t="s">
        <v>64</v>
      </c>
      <c r="E195" t="s">
        <v>40</v>
      </c>
      <c r="F195" t="s">
        <v>31</v>
      </c>
      <c r="G195" s="10">
        <v>1</v>
      </c>
      <c r="H195">
        <v>1532.77</v>
      </c>
      <c r="I195" s="6">
        <v>0.1</v>
      </c>
      <c r="J195" s="8">
        <v>329.61</v>
      </c>
      <c r="K195" s="4" t="s">
        <v>65</v>
      </c>
      <c r="L195" t="s">
        <v>36</v>
      </c>
      <c r="M195">
        <f t="shared" ref="M195:M258" si="9">H195*I195</f>
        <v>153.27700000000002</v>
      </c>
      <c r="N195" s="6">
        <f t="shared" ref="N195:N258" si="10">IFERROR(J195/H195,0)</f>
        <v>0.21504204805678609</v>
      </c>
      <c r="O195" s="6" t="str">
        <f t="shared" ref="O195:O258" si="11">TEXT(B195,"mmm")</f>
        <v>Jun</v>
      </c>
    </row>
    <row r="196" spans="1:15">
      <c r="A196" t="s">
        <v>374</v>
      </c>
      <c r="B196" s="2">
        <v>45806</v>
      </c>
      <c r="C196" t="s">
        <v>207</v>
      </c>
      <c r="D196" t="s">
        <v>124</v>
      </c>
      <c r="E196" t="s">
        <v>76</v>
      </c>
      <c r="F196" t="s">
        <v>26</v>
      </c>
      <c r="G196" s="10">
        <v>4</v>
      </c>
      <c r="H196">
        <v>3842.83</v>
      </c>
      <c r="I196" s="6">
        <v>0.25</v>
      </c>
      <c r="J196" s="8">
        <v>902.79</v>
      </c>
      <c r="K196" s="4" t="s">
        <v>20</v>
      </c>
      <c r="L196" t="s">
        <v>21</v>
      </c>
      <c r="M196">
        <f t="shared" si="9"/>
        <v>960.70749999999998</v>
      </c>
      <c r="N196" s="6">
        <f t="shared" si="10"/>
        <v>0.23492842514501031</v>
      </c>
      <c r="O196" s="6" t="str">
        <f t="shared" si="11"/>
        <v>May</v>
      </c>
    </row>
    <row r="197" spans="1:15">
      <c r="A197" t="s">
        <v>375</v>
      </c>
      <c r="B197" s="2">
        <v>45940</v>
      </c>
      <c r="C197" t="s">
        <v>204</v>
      </c>
      <c r="D197" t="s">
        <v>124</v>
      </c>
      <c r="E197" t="s">
        <v>76</v>
      </c>
      <c r="F197" t="s">
        <v>77</v>
      </c>
      <c r="G197" s="10">
        <v>2</v>
      </c>
      <c r="H197">
        <v>6472.65</v>
      </c>
      <c r="I197" s="6">
        <v>0.1</v>
      </c>
      <c r="J197" s="8">
        <v>643.73</v>
      </c>
      <c r="K197" s="4" t="s">
        <v>32</v>
      </c>
      <c r="L197" t="s">
        <v>21</v>
      </c>
      <c r="M197">
        <f t="shared" si="9"/>
        <v>647.26499999999999</v>
      </c>
      <c r="N197" s="6">
        <f t="shared" si="10"/>
        <v>9.9453855839571129E-2</v>
      </c>
      <c r="O197" s="6" t="str">
        <f t="shared" si="11"/>
        <v>Oct</v>
      </c>
    </row>
    <row r="198" spans="1:15">
      <c r="A198" t="s">
        <v>376</v>
      </c>
      <c r="B198" s="2">
        <v>45775</v>
      </c>
      <c r="C198" t="s">
        <v>167</v>
      </c>
      <c r="D198" t="s">
        <v>72</v>
      </c>
      <c r="E198" t="s">
        <v>69</v>
      </c>
      <c r="F198" t="s">
        <v>19</v>
      </c>
      <c r="G198" s="10">
        <v>3</v>
      </c>
      <c r="H198">
        <v>23694.2</v>
      </c>
      <c r="I198" s="6">
        <v>0.25</v>
      </c>
      <c r="J198" s="8">
        <v>5844.87</v>
      </c>
      <c r="K198" s="4" t="s">
        <v>20</v>
      </c>
      <c r="L198" t="s">
        <v>36</v>
      </c>
      <c r="M198">
        <f t="shared" si="9"/>
        <v>5923.55</v>
      </c>
      <c r="N198" s="6">
        <f t="shared" si="10"/>
        <v>0.2466793561293481</v>
      </c>
      <c r="O198" s="6" t="str">
        <f t="shared" si="11"/>
        <v>Apr</v>
      </c>
    </row>
    <row r="199" spans="1:15">
      <c r="A199" t="s">
        <v>377</v>
      </c>
      <c r="B199" s="2">
        <v>45729</v>
      </c>
      <c r="C199" t="s">
        <v>378</v>
      </c>
      <c r="D199" t="s">
        <v>95</v>
      </c>
      <c r="E199" t="s">
        <v>76</v>
      </c>
      <c r="F199" t="s">
        <v>19</v>
      </c>
      <c r="G199" s="10">
        <v>1</v>
      </c>
      <c r="H199">
        <v>10129.34</v>
      </c>
      <c r="I199" s="6">
        <v>0.1</v>
      </c>
      <c r="J199" s="8">
        <v>2980.37</v>
      </c>
      <c r="K199" s="4" t="s">
        <v>27</v>
      </c>
      <c r="L199" t="s">
        <v>21</v>
      </c>
      <c r="M199">
        <f t="shared" si="9"/>
        <v>1012.9340000000001</v>
      </c>
      <c r="N199" s="6">
        <f t="shared" si="10"/>
        <v>0.29423141093101818</v>
      </c>
      <c r="O199" s="6" t="str">
        <f t="shared" si="11"/>
        <v>Mar</v>
      </c>
    </row>
    <row r="200" spans="1:15">
      <c r="A200" t="s">
        <v>379</v>
      </c>
      <c r="B200" s="2">
        <v>45959</v>
      </c>
      <c r="C200" t="s">
        <v>356</v>
      </c>
      <c r="D200" t="s">
        <v>191</v>
      </c>
      <c r="E200" t="s">
        <v>69</v>
      </c>
      <c r="F200" t="s">
        <v>26</v>
      </c>
      <c r="G200" s="10">
        <v>3</v>
      </c>
      <c r="H200">
        <v>38613.56</v>
      </c>
      <c r="I200" s="6">
        <v>0</v>
      </c>
      <c r="J200" s="8">
        <v>5444.87</v>
      </c>
      <c r="K200" s="4" t="s">
        <v>27</v>
      </c>
      <c r="L200" t="s">
        <v>21</v>
      </c>
      <c r="M200">
        <f t="shared" si="9"/>
        <v>0</v>
      </c>
      <c r="N200" s="6">
        <f t="shared" si="10"/>
        <v>0.14100927239032091</v>
      </c>
      <c r="O200" s="6" t="str">
        <f t="shared" si="11"/>
        <v>Oct</v>
      </c>
    </row>
    <row r="201" spans="1:15">
      <c r="A201" t="s">
        <v>380</v>
      </c>
      <c r="B201" s="2">
        <v>45778</v>
      </c>
      <c r="C201" t="s">
        <v>381</v>
      </c>
      <c r="D201" t="s">
        <v>30</v>
      </c>
      <c r="E201" t="s">
        <v>18</v>
      </c>
      <c r="F201" t="s">
        <v>31</v>
      </c>
      <c r="G201" s="10">
        <v>2</v>
      </c>
      <c r="H201">
        <v>5241.05</v>
      </c>
      <c r="I201" s="6">
        <v>0.15</v>
      </c>
      <c r="J201" s="8">
        <v>765.03</v>
      </c>
      <c r="K201" s="4" t="s">
        <v>32</v>
      </c>
      <c r="L201" t="s">
        <v>21</v>
      </c>
      <c r="M201">
        <f t="shared" si="9"/>
        <v>786.15750000000003</v>
      </c>
      <c r="N201" s="6">
        <f t="shared" si="10"/>
        <v>0.14596884212133063</v>
      </c>
      <c r="O201" s="6" t="str">
        <f t="shared" si="11"/>
        <v>May</v>
      </c>
    </row>
    <row r="202" spans="1:15">
      <c r="A202" t="s">
        <v>382</v>
      </c>
      <c r="B202" s="2">
        <v>45677</v>
      </c>
      <c r="C202" t="s">
        <v>383</v>
      </c>
      <c r="D202" t="s">
        <v>17</v>
      </c>
      <c r="E202" t="s">
        <v>18</v>
      </c>
      <c r="F202" t="s">
        <v>77</v>
      </c>
      <c r="G202" s="10">
        <v>2</v>
      </c>
      <c r="H202">
        <v>6421.58</v>
      </c>
      <c r="I202" s="6">
        <v>0.1</v>
      </c>
      <c r="J202" s="8">
        <v>538.12</v>
      </c>
      <c r="K202" s="4" t="s">
        <v>20</v>
      </c>
      <c r="L202" t="s">
        <v>36</v>
      </c>
      <c r="M202">
        <f t="shared" si="9"/>
        <v>642.15800000000002</v>
      </c>
      <c r="N202" s="6">
        <f t="shared" si="10"/>
        <v>8.3798691287813906E-2</v>
      </c>
      <c r="O202" s="6" t="str">
        <f t="shared" si="11"/>
        <v>Jan</v>
      </c>
    </row>
    <row r="203" spans="1:15">
      <c r="A203" t="s">
        <v>384</v>
      </c>
      <c r="B203" s="2">
        <v>45677</v>
      </c>
      <c r="C203" t="s">
        <v>242</v>
      </c>
      <c r="D203" t="s">
        <v>217</v>
      </c>
      <c r="E203" t="s">
        <v>18</v>
      </c>
      <c r="F203" t="s">
        <v>107</v>
      </c>
      <c r="G203" s="10">
        <v>1</v>
      </c>
      <c r="H203">
        <v>2069.89</v>
      </c>
      <c r="I203" s="6">
        <v>0.15</v>
      </c>
      <c r="J203" s="8">
        <v>337.99</v>
      </c>
      <c r="K203" s="4" t="s">
        <v>27</v>
      </c>
      <c r="L203" t="s">
        <v>21</v>
      </c>
      <c r="M203">
        <f t="shared" si="9"/>
        <v>310.48349999999999</v>
      </c>
      <c r="N203" s="6">
        <f t="shared" si="10"/>
        <v>0.16328887042306597</v>
      </c>
      <c r="O203" s="6" t="str">
        <f t="shared" si="11"/>
        <v>Jan</v>
      </c>
    </row>
    <row r="204" spans="1:15">
      <c r="A204" t="s">
        <v>385</v>
      </c>
      <c r="B204" s="2">
        <v>45739</v>
      </c>
      <c r="C204" t="s">
        <v>317</v>
      </c>
      <c r="D204" t="s">
        <v>45</v>
      </c>
      <c r="E204" t="s">
        <v>18</v>
      </c>
      <c r="F204" t="s">
        <v>70</v>
      </c>
      <c r="G204" s="10">
        <v>3</v>
      </c>
      <c r="H204">
        <v>3124.56</v>
      </c>
      <c r="I204" s="6">
        <v>0.15</v>
      </c>
      <c r="J204" s="8">
        <v>391.83</v>
      </c>
      <c r="K204" s="4" t="s">
        <v>20</v>
      </c>
      <c r="L204" t="s">
        <v>21</v>
      </c>
      <c r="M204">
        <f t="shared" si="9"/>
        <v>468.68399999999997</v>
      </c>
      <c r="N204" s="6">
        <f t="shared" si="10"/>
        <v>0.12540325677855441</v>
      </c>
      <c r="O204" s="6" t="str">
        <f t="shared" si="11"/>
        <v>Mar</v>
      </c>
    </row>
    <row r="205" spans="1:15">
      <c r="A205" t="s">
        <v>386</v>
      </c>
      <c r="B205" s="2">
        <v>46013</v>
      </c>
      <c r="C205" t="s">
        <v>300</v>
      </c>
      <c r="D205" t="s">
        <v>124</v>
      </c>
      <c r="E205" t="s">
        <v>76</v>
      </c>
      <c r="F205" t="s">
        <v>41</v>
      </c>
      <c r="G205" s="10">
        <v>3</v>
      </c>
      <c r="H205">
        <v>17551.36</v>
      </c>
      <c r="I205" s="6">
        <v>0.15</v>
      </c>
      <c r="J205" s="8">
        <v>1360.28</v>
      </c>
      <c r="K205" s="4" t="s">
        <v>27</v>
      </c>
      <c r="L205" t="s">
        <v>21</v>
      </c>
      <c r="M205">
        <f t="shared" si="9"/>
        <v>2632.7040000000002</v>
      </c>
      <c r="N205" s="6">
        <f t="shared" si="10"/>
        <v>7.7502825991831961E-2</v>
      </c>
      <c r="O205" s="6" t="str">
        <f t="shared" si="11"/>
        <v>Dec</v>
      </c>
    </row>
    <row r="206" spans="1:15">
      <c r="A206" t="s">
        <v>387</v>
      </c>
      <c r="B206" s="2">
        <v>45970</v>
      </c>
      <c r="C206" t="s">
        <v>150</v>
      </c>
      <c r="D206" t="s">
        <v>72</v>
      </c>
      <c r="E206" t="s">
        <v>69</v>
      </c>
      <c r="F206" t="s">
        <v>19</v>
      </c>
      <c r="G206" s="10">
        <v>4</v>
      </c>
      <c r="H206">
        <v>80097.09</v>
      </c>
      <c r="I206" s="6">
        <v>0</v>
      </c>
      <c r="J206" s="8">
        <v>11792.49</v>
      </c>
      <c r="K206" s="4" t="s">
        <v>32</v>
      </c>
      <c r="L206" t="s">
        <v>21</v>
      </c>
      <c r="M206">
        <f t="shared" si="9"/>
        <v>0</v>
      </c>
      <c r="N206" s="6">
        <f t="shared" si="10"/>
        <v>0.14722744609073812</v>
      </c>
      <c r="O206" s="6" t="str">
        <f t="shared" si="11"/>
        <v>Nov</v>
      </c>
    </row>
    <row r="207" spans="1:15">
      <c r="A207" t="s">
        <v>388</v>
      </c>
      <c r="B207" s="2">
        <v>45794</v>
      </c>
      <c r="C207" t="s">
        <v>358</v>
      </c>
      <c r="D207" t="s">
        <v>84</v>
      </c>
      <c r="E207" t="s">
        <v>18</v>
      </c>
      <c r="F207" t="s">
        <v>70</v>
      </c>
      <c r="G207" s="10">
        <v>2</v>
      </c>
      <c r="H207">
        <v>4867.05</v>
      </c>
      <c r="I207" s="6">
        <v>0</v>
      </c>
      <c r="J207" s="8">
        <v>804.21</v>
      </c>
      <c r="K207" s="4" t="s">
        <v>20</v>
      </c>
      <c r="L207" t="s">
        <v>21</v>
      </c>
      <c r="M207">
        <f t="shared" si="9"/>
        <v>0</v>
      </c>
      <c r="N207" s="6">
        <f t="shared" si="10"/>
        <v>0.16523561500292785</v>
      </c>
      <c r="O207" s="6" t="str">
        <f t="shared" si="11"/>
        <v>May</v>
      </c>
    </row>
    <row r="208" spans="1:15">
      <c r="A208" t="s">
        <v>389</v>
      </c>
      <c r="B208" s="2">
        <v>45708</v>
      </c>
      <c r="C208" t="s">
        <v>390</v>
      </c>
      <c r="D208" t="s">
        <v>50</v>
      </c>
      <c r="E208" t="s">
        <v>40</v>
      </c>
      <c r="F208" t="s">
        <v>107</v>
      </c>
      <c r="G208" s="10">
        <v>5</v>
      </c>
      <c r="H208">
        <v>1693.38</v>
      </c>
      <c r="I208" s="6">
        <v>0.1</v>
      </c>
      <c r="J208" s="8">
        <v>236.42</v>
      </c>
      <c r="K208" s="4" t="s">
        <v>20</v>
      </c>
      <c r="L208" t="s">
        <v>21</v>
      </c>
      <c r="M208">
        <f t="shared" si="9"/>
        <v>169.33800000000002</v>
      </c>
      <c r="N208" s="6">
        <f t="shared" si="10"/>
        <v>0.13961426259906221</v>
      </c>
      <c r="O208" s="6" t="str">
        <f t="shared" si="11"/>
        <v>Feb</v>
      </c>
    </row>
    <row r="209" spans="1:15">
      <c r="A209" t="s">
        <v>391</v>
      </c>
      <c r="B209" s="2">
        <v>45918</v>
      </c>
      <c r="C209" t="s">
        <v>392</v>
      </c>
      <c r="D209" t="s">
        <v>39</v>
      </c>
      <c r="E209" t="s">
        <v>40</v>
      </c>
      <c r="F209" t="s">
        <v>70</v>
      </c>
      <c r="G209" s="10">
        <v>4</v>
      </c>
      <c r="H209">
        <v>1871.12</v>
      </c>
      <c r="I209" s="6">
        <v>0.15</v>
      </c>
      <c r="J209" s="8">
        <v>102.55</v>
      </c>
      <c r="K209" s="4" t="s">
        <v>65</v>
      </c>
      <c r="L209" t="s">
        <v>21</v>
      </c>
      <c r="M209">
        <f t="shared" si="9"/>
        <v>280.66799999999995</v>
      </c>
      <c r="N209" s="6">
        <f t="shared" si="10"/>
        <v>5.4806746761298049E-2</v>
      </c>
      <c r="O209" s="6" t="str">
        <f t="shared" si="11"/>
        <v>Sep</v>
      </c>
    </row>
    <row r="210" spans="1:15">
      <c r="A210" t="s">
        <v>393</v>
      </c>
      <c r="B210" s="2">
        <v>45831</v>
      </c>
      <c r="C210" t="s">
        <v>394</v>
      </c>
      <c r="D210" t="s">
        <v>30</v>
      </c>
      <c r="E210" t="s">
        <v>18</v>
      </c>
      <c r="F210" t="s">
        <v>26</v>
      </c>
      <c r="G210" s="10">
        <v>4</v>
      </c>
      <c r="H210">
        <v>2796.51</v>
      </c>
      <c r="I210" s="6">
        <v>0</v>
      </c>
      <c r="J210" s="8">
        <v>612.5</v>
      </c>
      <c r="K210" s="4" t="s">
        <v>20</v>
      </c>
      <c r="L210" t="s">
        <v>36</v>
      </c>
      <c r="M210">
        <f t="shared" si="9"/>
        <v>0</v>
      </c>
      <c r="N210" s="6">
        <f t="shared" si="10"/>
        <v>0.21902299652066323</v>
      </c>
      <c r="O210" s="6" t="str">
        <f t="shared" si="11"/>
        <v>Jun</v>
      </c>
    </row>
    <row r="211" spans="1:15">
      <c r="A211" t="s">
        <v>395</v>
      </c>
      <c r="B211" s="2">
        <v>45999</v>
      </c>
      <c r="C211" t="s">
        <v>317</v>
      </c>
      <c r="D211" t="s">
        <v>45</v>
      </c>
      <c r="E211" t="s">
        <v>18</v>
      </c>
      <c r="F211" t="s">
        <v>19</v>
      </c>
      <c r="G211" s="10">
        <v>4</v>
      </c>
      <c r="H211">
        <v>4242.3</v>
      </c>
      <c r="I211" s="6">
        <v>0.15</v>
      </c>
      <c r="J211" s="8">
        <v>908.59</v>
      </c>
      <c r="K211" s="4" t="s">
        <v>27</v>
      </c>
      <c r="L211" t="s">
        <v>21</v>
      </c>
      <c r="M211">
        <f t="shared" si="9"/>
        <v>636.34500000000003</v>
      </c>
      <c r="N211" s="6">
        <f t="shared" si="10"/>
        <v>0.21417391509322772</v>
      </c>
      <c r="O211" s="6" t="str">
        <f t="shared" si="11"/>
        <v>Dec</v>
      </c>
    </row>
    <row r="212" spans="1:15">
      <c r="A212" t="s">
        <v>396</v>
      </c>
      <c r="B212" s="2">
        <v>45885</v>
      </c>
      <c r="C212" t="s">
        <v>397</v>
      </c>
      <c r="D212" t="s">
        <v>30</v>
      </c>
      <c r="E212" t="s">
        <v>18</v>
      </c>
      <c r="F212" t="s">
        <v>35</v>
      </c>
      <c r="G212" s="10">
        <v>3</v>
      </c>
      <c r="H212">
        <v>1248.53</v>
      </c>
      <c r="I212" s="6">
        <v>0.05</v>
      </c>
      <c r="J212" s="8">
        <v>236.97</v>
      </c>
      <c r="K212" s="4" t="s">
        <v>65</v>
      </c>
      <c r="L212" t="s">
        <v>21</v>
      </c>
      <c r="M212">
        <f t="shared" si="9"/>
        <v>62.426500000000004</v>
      </c>
      <c r="N212" s="6">
        <f t="shared" si="10"/>
        <v>0.18979920386374377</v>
      </c>
      <c r="O212" s="6" t="str">
        <f t="shared" si="11"/>
        <v>Aug</v>
      </c>
    </row>
    <row r="213" spans="1:15">
      <c r="A213" t="s">
        <v>398</v>
      </c>
      <c r="B213" s="2">
        <v>45800</v>
      </c>
      <c r="C213" t="s">
        <v>228</v>
      </c>
      <c r="D213" t="s">
        <v>75</v>
      </c>
      <c r="E213" t="s">
        <v>76</v>
      </c>
      <c r="F213" t="s">
        <v>107</v>
      </c>
      <c r="G213" s="10">
        <v>5</v>
      </c>
      <c r="H213">
        <v>5345.39</v>
      </c>
      <c r="I213" s="6">
        <v>0.15</v>
      </c>
      <c r="J213" s="8">
        <v>1220.46</v>
      </c>
      <c r="K213" s="4" t="s">
        <v>27</v>
      </c>
      <c r="L213" t="s">
        <v>21</v>
      </c>
      <c r="M213">
        <f t="shared" si="9"/>
        <v>801.80849999999998</v>
      </c>
      <c r="N213" s="6">
        <f t="shared" si="10"/>
        <v>0.22832010386519971</v>
      </c>
      <c r="O213" s="6" t="str">
        <f t="shared" si="11"/>
        <v>May</v>
      </c>
    </row>
    <row r="214" spans="1:15">
      <c r="A214" t="s">
        <v>399</v>
      </c>
      <c r="B214" s="2">
        <v>45875</v>
      </c>
      <c r="C214" t="s">
        <v>400</v>
      </c>
      <c r="D214" t="s">
        <v>56</v>
      </c>
      <c r="E214" t="s">
        <v>40</v>
      </c>
      <c r="F214" t="s">
        <v>26</v>
      </c>
      <c r="G214" s="10">
        <v>5</v>
      </c>
      <c r="H214">
        <v>6848.97</v>
      </c>
      <c r="I214" s="6">
        <v>0.1</v>
      </c>
      <c r="J214" s="8">
        <v>753.61</v>
      </c>
      <c r="K214" s="4" t="s">
        <v>65</v>
      </c>
      <c r="L214" t="s">
        <v>36</v>
      </c>
      <c r="M214">
        <f t="shared" si="9"/>
        <v>684.89700000000005</v>
      </c>
      <c r="N214" s="6">
        <f t="shared" si="10"/>
        <v>0.11003260344256144</v>
      </c>
      <c r="O214" s="6" t="str">
        <f t="shared" si="11"/>
        <v>Aug</v>
      </c>
    </row>
    <row r="215" spans="1:15">
      <c r="A215" t="s">
        <v>401</v>
      </c>
      <c r="B215" s="2">
        <v>45853</v>
      </c>
      <c r="C215" t="s">
        <v>152</v>
      </c>
      <c r="D215" t="s">
        <v>191</v>
      </c>
      <c r="E215" t="s">
        <v>69</v>
      </c>
      <c r="F215" t="s">
        <v>107</v>
      </c>
      <c r="G215" s="10">
        <v>2</v>
      </c>
      <c r="H215">
        <v>9755.32</v>
      </c>
      <c r="I215" s="6">
        <v>0.25</v>
      </c>
      <c r="J215" s="8">
        <v>1780.67</v>
      </c>
      <c r="K215" s="4" t="s">
        <v>20</v>
      </c>
      <c r="L215" t="s">
        <v>21</v>
      </c>
      <c r="M215">
        <f t="shared" si="9"/>
        <v>2438.83</v>
      </c>
      <c r="N215" s="6">
        <f t="shared" si="10"/>
        <v>0.18253322289786497</v>
      </c>
      <c r="O215" s="6" t="str">
        <f t="shared" si="11"/>
        <v>Jul</v>
      </c>
    </row>
    <row r="216" spans="1:15">
      <c r="A216" t="s">
        <v>402</v>
      </c>
      <c r="B216" s="2">
        <v>45743</v>
      </c>
      <c r="C216" t="s">
        <v>403</v>
      </c>
      <c r="D216" t="s">
        <v>75</v>
      </c>
      <c r="E216" t="s">
        <v>76</v>
      </c>
      <c r="F216" t="s">
        <v>35</v>
      </c>
      <c r="G216" s="10">
        <v>1</v>
      </c>
      <c r="H216">
        <v>6285.98</v>
      </c>
      <c r="I216" s="6">
        <v>0.25</v>
      </c>
      <c r="J216" s="8">
        <v>602.66999999999996</v>
      </c>
      <c r="K216" s="4" t="s">
        <v>20</v>
      </c>
      <c r="L216" t="s">
        <v>36</v>
      </c>
      <c r="M216">
        <f t="shared" si="9"/>
        <v>1571.4949999999999</v>
      </c>
      <c r="N216" s="6">
        <f t="shared" si="10"/>
        <v>9.5875265272877097E-2</v>
      </c>
      <c r="O216" s="6" t="str">
        <f t="shared" si="11"/>
        <v>Mar</v>
      </c>
    </row>
    <row r="217" spans="1:15">
      <c r="A217" t="s">
        <v>404</v>
      </c>
      <c r="B217" s="2">
        <v>45755</v>
      </c>
      <c r="C217" t="s">
        <v>141</v>
      </c>
      <c r="D217" t="s">
        <v>191</v>
      </c>
      <c r="E217" t="s">
        <v>69</v>
      </c>
      <c r="F217" t="s">
        <v>77</v>
      </c>
      <c r="G217" s="10">
        <v>3</v>
      </c>
      <c r="H217">
        <v>95833.12</v>
      </c>
      <c r="I217" s="6">
        <v>0.25</v>
      </c>
      <c r="J217" s="8">
        <v>10776.48</v>
      </c>
      <c r="K217" s="4" t="s">
        <v>42</v>
      </c>
      <c r="L217" t="s">
        <v>21</v>
      </c>
      <c r="M217">
        <f t="shared" si="9"/>
        <v>23958.28</v>
      </c>
      <c r="N217" s="6">
        <f t="shared" si="10"/>
        <v>0.11245047641149532</v>
      </c>
      <c r="O217" s="6" t="str">
        <f t="shared" si="11"/>
        <v>Apr</v>
      </c>
    </row>
    <row r="218" spans="1:15">
      <c r="A218" t="s">
        <v>405</v>
      </c>
      <c r="B218" s="2">
        <v>45706</v>
      </c>
      <c r="C218" t="s">
        <v>216</v>
      </c>
      <c r="D218" t="s">
        <v>53</v>
      </c>
      <c r="E218" t="s">
        <v>25</v>
      </c>
      <c r="F218" t="s">
        <v>19</v>
      </c>
      <c r="G218" s="10">
        <v>5</v>
      </c>
      <c r="H218">
        <v>4565.01</v>
      </c>
      <c r="I218" s="6">
        <v>0.15</v>
      </c>
      <c r="J218" s="8">
        <v>1030.3699999999999</v>
      </c>
      <c r="K218" s="4" t="s">
        <v>20</v>
      </c>
      <c r="L218" t="s">
        <v>21</v>
      </c>
      <c r="M218">
        <f t="shared" si="9"/>
        <v>684.75149999999996</v>
      </c>
      <c r="N218" s="6">
        <f t="shared" si="10"/>
        <v>0.22571034893680406</v>
      </c>
      <c r="O218" s="6" t="str">
        <f t="shared" si="11"/>
        <v>Feb</v>
      </c>
    </row>
    <row r="219" spans="1:15">
      <c r="A219" t="s">
        <v>406</v>
      </c>
      <c r="B219" s="2">
        <v>45825</v>
      </c>
      <c r="C219" t="s">
        <v>381</v>
      </c>
      <c r="D219" t="s">
        <v>217</v>
      </c>
      <c r="E219" t="s">
        <v>18</v>
      </c>
      <c r="F219" t="s">
        <v>77</v>
      </c>
      <c r="G219" s="10">
        <v>2</v>
      </c>
      <c r="H219">
        <v>6105.54</v>
      </c>
      <c r="I219" s="6">
        <v>0</v>
      </c>
      <c r="J219" s="8">
        <v>509.01</v>
      </c>
      <c r="K219" s="4" t="s">
        <v>32</v>
      </c>
      <c r="L219" t="s">
        <v>21</v>
      </c>
      <c r="M219">
        <f t="shared" si="9"/>
        <v>0</v>
      </c>
      <c r="N219" s="6">
        <f t="shared" si="10"/>
        <v>8.3368547253805561E-2</v>
      </c>
      <c r="O219" s="6" t="str">
        <f t="shared" si="11"/>
        <v>Jun</v>
      </c>
    </row>
    <row r="220" spans="1:15">
      <c r="A220" t="s">
        <v>407</v>
      </c>
      <c r="B220" s="2">
        <v>45824</v>
      </c>
      <c r="C220" t="s">
        <v>408</v>
      </c>
      <c r="D220" t="s">
        <v>191</v>
      </c>
      <c r="E220" t="s">
        <v>69</v>
      </c>
      <c r="F220" t="s">
        <v>70</v>
      </c>
      <c r="G220" s="10">
        <v>4</v>
      </c>
      <c r="H220">
        <v>107276.17</v>
      </c>
      <c r="I220" s="6">
        <v>0.1</v>
      </c>
      <c r="J220" s="8">
        <v>14232.11</v>
      </c>
      <c r="K220" s="4" t="s">
        <v>32</v>
      </c>
      <c r="L220" t="s">
        <v>36</v>
      </c>
      <c r="M220">
        <f t="shared" si="9"/>
        <v>10727.617</v>
      </c>
      <c r="N220" s="6">
        <f t="shared" si="10"/>
        <v>0.13266795412252322</v>
      </c>
      <c r="O220" s="6" t="str">
        <f t="shared" si="11"/>
        <v>Jun</v>
      </c>
    </row>
    <row r="221" spans="1:15">
      <c r="A221" t="s">
        <v>409</v>
      </c>
      <c r="B221" s="2">
        <v>45821</v>
      </c>
      <c r="C221" t="s">
        <v>410</v>
      </c>
      <c r="D221" t="s">
        <v>250</v>
      </c>
      <c r="E221" t="s">
        <v>76</v>
      </c>
      <c r="F221" t="s">
        <v>19</v>
      </c>
      <c r="G221" s="10">
        <v>5</v>
      </c>
      <c r="H221">
        <v>48507.23</v>
      </c>
      <c r="I221" s="6">
        <v>0</v>
      </c>
      <c r="J221" s="8">
        <v>6330.67</v>
      </c>
      <c r="K221" s="4" t="s">
        <v>27</v>
      </c>
      <c r="L221" t="s">
        <v>36</v>
      </c>
      <c r="M221">
        <f t="shared" si="9"/>
        <v>0</v>
      </c>
      <c r="N221" s="6">
        <f t="shared" si="10"/>
        <v>0.13050982296865848</v>
      </c>
      <c r="O221" s="6" t="str">
        <f t="shared" si="11"/>
        <v>Jun</v>
      </c>
    </row>
    <row r="222" spans="1:15">
      <c r="A222" t="s">
        <v>411</v>
      </c>
      <c r="B222" s="2">
        <v>45920</v>
      </c>
      <c r="C222" t="s">
        <v>412</v>
      </c>
      <c r="D222" t="s">
        <v>217</v>
      </c>
      <c r="E222" t="s">
        <v>18</v>
      </c>
      <c r="F222" t="s">
        <v>41</v>
      </c>
      <c r="G222" s="10">
        <v>3</v>
      </c>
      <c r="H222">
        <v>4265.41</v>
      </c>
      <c r="I222" s="6">
        <v>0.1</v>
      </c>
      <c r="J222" s="8">
        <v>433.27</v>
      </c>
      <c r="K222" s="4" t="s">
        <v>42</v>
      </c>
      <c r="L222" t="s">
        <v>36</v>
      </c>
      <c r="M222">
        <f t="shared" si="9"/>
        <v>426.541</v>
      </c>
      <c r="N222" s="6">
        <f t="shared" si="10"/>
        <v>0.10157757401984803</v>
      </c>
      <c r="O222" s="6" t="str">
        <f t="shared" si="11"/>
        <v>Sep</v>
      </c>
    </row>
    <row r="223" spans="1:15">
      <c r="A223" t="s">
        <v>413</v>
      </c>
      <c r="B223" s="2">
        <v>45764</v>
      </c>
      <c r="C223" t="s">
        <v>414</v>
      </c>
      <c r="D223" t="s">
        <v>64</v>
      </c>
      <c r="E223" t="s">
        <v>40</v>
      </c>
      <c r="F223" t="s">
        <v>41</v>
      </c>
      <c r="G223" s="10">
        <v>5</v>
      </c>
      <c r="H223">
        <v>4652.7299999999996</v>
      </c>
      <c r="I223" s="6">
        <v>0.25</v>
      </c>
      <c r="J223" s="8">
        <v>1203.3399999999999</v>
      </c>
      <c r="K223" s="4" t="s">
        <v>42</v>
      </c>
      <c r="L223" t="s">
        <v>21</v>
      </c>
      <c r="M223">
        <f t="shared" si="9"/>
        <v>1163.1824999999999</v>
      </c>
      <c r="N223" s="6">
        <f t="shared" si="10"/>
        <v>0.25863095429994865</v>
      </c>
      <c r="O223" s="6" t="str">
        <f t="shared" si="11"/>
        <v>Apr</v>
      </c>
    </row>
    <row r="224" spans="1:15">
      <c r="A224" t="s">
        <v>415</v>
      </c>
      <c r="B224" s="2">
        <v>45678</v>
      </c>
      <c r="C224" t="s">
        <v>416</v>
      </c>
      <c r="D224" t="s">
        <v>114</v>
      </c>
      <c r="E224" t="s">
        <v>69</v>
      </c>
      <c r="F224" t="s">
        <v>31</v>
      </c>
      <c r="G224" s="10">
        <v>5</v>
      </c>
      <c r="H224">
        <v>91533.61</v>
      </c>
      <c r="I224" s="6">
        <v>0.15</v>
      </c>
      <c r="J224" s="8">
        <v>23517.23</v>
      </c>
      <c r="K224" s="4" t="s">
        <v>32</v>
      </c>
      <c r="L224" t="s">
        <v>21</v>
      </c>
      <c r="M224">
        <f t="shared" si="9"/>
        <v>13730.041499999999</v>
      </c>
      <c r="N224" s="6">
        <f t="shared" si="10"/>
        <v>0.25692453296663376</v>
      </c>
      <c r="O224" s="6" t="str">
        <f t="shared" si="11"/>
        <v>Jan</v>
      </c>
    </row>
    <row r="225" spans="1:15">
      <c r="A225" t="s">
        <v>417</v>
      </c>
      <c r="B225" s="2">
        <v>45938</v>
      </c>
      <c r="C225" t="s">
        <v>418</v>
      </c>
      <c r="D225" t="s">
        <v>58</v>
      </c>
      <c r="E225" t="s">
        <v>25</v>
      </c>
      <c r="F225" t="s">
        <v>26</v>
      </c>
      <c r="G225" s="10">
        <v>4</v>
      </c>
      <c r="H225">
        <v>13452.64</v>
      </c>
      <c r="I225" s="6">
        <v>0.25</v>
      </c>
      <c r="J225" s="8">
        <v>1674.15</v>
      </c>
      <c r="K225" s="4" t="s">
        <v>20</v>
      </c>
      <c r="L225" t="s">
        <v>36</v>
      </c>
      <c r="M225">
        <f t="shared" si="9"/>
        <v>3363.16</v>
      </c>
      <c r="N225" s="6">
        <f t="shared" si="10"/>
        <v>0.12444769205152298</v>
      </c>
      <c r="O225" s="6" t="str">
        <f t="shared" si="11"/>
        <v>Oct</v>
      </c>
    </row>
    <row r="226" spans="1:15">
      <c r="A226" t="s">
        <v>419</v>
      </c>
      <c r="B226" s="2">
        <v>46021</v>
      </c>
      <c r="C226" t="s">
        <v>113</v>
      </c>
      <c r="D226" t="s">
        <v>75</v>
      </c>
      <c r="E226" t="s">
        <v>76</v>
      </c>
      <c r="F226" t="s">
        <v>77</v>
      </c>
      <c r="G226" s="10">
        <v>4</v>
      </c>
      <c r="H226">
        <v>19204.75</v>
      </c>
      <c r="I226" s="6">
        <v>0.05</v>
      </c>
      <c r="J226" s="8">
        <v>4321.8999999999996</v>
      </c>
      <c r="K226" s="4" t="s">
        <v>27</v>
      </c>
      <c r="L226" t="s">
        <v>36</v>
      </c>
      <c r="M226">
        <f t="shared" si="9"/>
        <v>960.23750000000007</v>
      </c>
      <c r="N226" s="6">
        <f t="shared" si="10"/>
        <v>0.22504328356266026</v>
      </c>
      <c r="O226" s="6" t="str">
        <f t="shared" si="11"/>
        <v>Dec</v>
      </c>
    </row>
    <row r="227" spans="1:15">
      <c r="A227" t="s">
        <v>420</v>
      </c>
      <c r="B227" s="2">
        <v>45820</v>
      </c>
      <c r="C227" t="s">
        <v>47</v>
      </c>
      <c r="D227" t="s">
        <v>45</v>
      </c>
      <c r="E227" t="s">
        <v>18</v>
      </c>
      <c r="F227" t="s">
        <v>41</v>
      </c>
      <c r="G227" s="10">
        <v>4</v>
      </c>
      <c r="H227">
        <v>13105.32</v>
      </c>
      <c r="I227" s="6">
        <v>0.1</v>
      </c>
      <c r="J227" s="8">
        <v>1954.32</v>
      </c>
      <c r="K227" s="4" t="s">
        <v>65</v>
      </c>
      <c r="L227" t="s">
        <v>21</v>
      </c>
      <c r="M227">
        <f t="shared" si="9"/>
        <v>1310.5320000000002</v>
      </c>
      <c r="N227" s="6">
        <f t="shared" si="10"/>
        <v>0.14912417247346879</v>
      </c>
      <c r="O227" s="6" t="str">
        <f t="shared" si="11"/>
        <v>Jun</v>
      </c>
    </row>
    <row r="228" spans="1:15">
      <c r="A228" t="s">
        <v>421</v>
      </c>
      <c r="B228" s="2">
        <v>45946</v>
      </c>
      <c r="C228" t="s">
        <v>422</v>
      </c>
      <c r="D228" t="s">
        <v>53</v>
      </c>
      <c r="E228" t="s">
        <v>25</v>
      </c>
      <c r="F228" t="s">
        <v>26</v>
      </c>
      <c r="G228" s="10">
        <v>4</v>
      </c>
      <c r="H228">
        <v>14343.8</v>
      </c>
      <c r="I228" s="6">
        <v>0.05</v>
      </c>
      <c r="J228" s="8">
        <v>1779.63</v>
      </c>
      <c r="K228" s="4" t="s">
        <v>65</v>
      </c>
      <c r="L228" t="s">
        <v>21</v>
      </c>
      <c r="M228">
        <f t="shared" si="9"/>
        <v>717.19</v>
      </c>
      <c r="N228" s="6">
        <f t="shared" si="10"/>
        <v>0.12406963287273945</v>
      </c>
      <c r="O228" s="6" t="str">
        <f t="shared" si="11"/>
        <v>Oct</v>
      </c>
    </row>
    <row r="229" spans="1:15">
      <c r="A229" t="s">
        <v>423</v>
      </c>
      <c r="B229" s="2">
        <v>45960</v>
      </c>
      <c r="C229" t="s">
        <v>424</v>
      </c>
      <c r="D229" t="s">
        <v>72</v>
      </c>
      <c r="E229" t="s">
        <v>69</v>
      </c>
      <c r="F229" t="s">
        <v>26</v>
      </c>
      <c r="G229" s="10">
        <v>5</v>
      </c>
      <c r="H229">
        <v>11723.03</v>
      </c>
      <c r="I229" s="6">
        <v>0.2</v>
      </c>
      <c r="J229" s="8">
        <v>1634.86</v>
      </c>
      <c r="K229" s="4" t="s">
        <v>42</v>
      </c>
      <c r="L229" t="s">
        <v>36</v>
      </c>
      <c r="M229">
        <f t="shared" si="9"/>
        <v>2344.6060000000002</v>
      </c>
      <c r="N229" s="6">
        <f t="shared" si="10"/>
        <v>0.13945711987429868</v>
      </c>
      <c r="O229" s="6" t="str">
        <f t="shared" si="11"/>
        <v>Oct</v>
      </c>
    </row>
    <row r="230" spans="1:15">
      <c r="A230" t="s">
        <v>425</v>
      </c>
      <c r="B230" s="2">
        <v>45864</v>
      </c>
      <c r="C230" t="s">
        <v>426</v>
      </c>
      <c r="D230" t="s">
        <v>72</v>
      </c>
      <c r="E230" t="s">
        <v>69</v>
      </c>
      <c r="F230" t="s">
        <v>70</v>
      </c>
      <c r="G230" s="10">
        <v>2</v>
      </c>
      <c r="H230">
        <v>63869.01</v>
      </c>
      <c r="I230" s="6">
        <v>0.25</v>
      </c>
      <c r="J230" s="8">
        <v>13102.31</v>
      </c>
      <c r="K230" s="4" t="s">
        <v>27</v>
      </c>
      <c r="L230" t="s">
        <v>21</v>
      </c>
      <c r="M230">
        <f t="shared" si="9"/>
        <v>15967.252500000001</v>
      </c>
      <c r="N230" s="6">
        <f t="shared" si="10"/>
        <v>0.20514346472569403</v>
      </c>
      <c r="O230" s="6" t="str">
        <f t="shared" si="11"/>
        <v>Jul</v>
      </c>
    </row>
    <row r="231" spans="1:15">
      <c r="A231" t="s">
        <v>427</v>
      </c>
      <c r="B231" s="2">
        <v>45847</v>
      </c>
      <c r="C231" t="s">
        <v>288</v>
      </c>
      <c r="D231" t="s">
        <v>17</v>
      </c>
      <c r="E231" t="s">
        <v>18</v>
      </c>
      <c r="F231" t="s">
        <v>19</v>
      </c>
      <c r="G231" s="10">
        <v>3</v>
      </c>
      <c r="H231">
        <v>3979.11</v>
      </c>
      <c r="I231" s="6">
        <v>0.25</v>
      </c>
      <c r="J231" s="8">
        <v>734.84</v>
      </c>
      <c r="K231" s="4" t="s">
        <v>27</v>
      </c>
      <c r="L231" t="s">
        <v>21</v>
      </c>
      <c r="M231">
        <f t="shared" si="9"/>
        <v>994.77750000000003</v>
      </c>
      <c r="N231" s="6">
        <f t="shared" si="10"/>
        <v>0.18467446237977839</v>
      </c>
      <c r="O231" s="6" t="str">
        <f t="shared" si="11"/>
        <v>Jul</v>
      </c>
    </row>
    <row r="232" spans="1:15">
      <c r="A232" t="s">
        <v>428</v>
      </c>
      <c r="B232" s="2">
        <v>45932</v>
      </c>
      <c r="C232" t="s">
        <v>161</v>
      </c>
      <c r="D232" t="s">
        <v>72</v>
      </c>
      <c r="E232" t="s">
        <v>69</v>
      </c>
      <c r="F232" t="s">
        <v>70</v>
      </c>
      <c r="G232" s="10">
        <v>1</v>
      </c>
      <c r="H232">
        <v>43754.71</v>
      </c>
      <c r="I232" s="6">
        <v>0.2</v>
      </c>
      <c r="J232" s="8">
        <v>11496.61</v>
      </c>
      <c r="K232" s="4" t="s">
        <v>42</v>
      </c>
      <c r="L232" t="s">
        <v>21</v>
      </c>
      <c r="M232">
        <f t="shared" si="9"/>
        <v>8750.9420000000009</v>
      </c>
      <c r="N232" s="6">
        <f t="shared" si="10"/>
        <v>0.26275137008107241</v>
      </c>
      <c r="O232" s="6" t="str">
        <f t="shared" si="11"/>
        <v>Oct</v>
      </c>
    </row>
    <row r="233" spans="1:15">
      <c r="A233" t="s">
        <v>429</v>
      </c>
      <c r="B233" s="2">
        <v>45777</v>
      </c>
      <c r="C233" t="s">
        <v>281</v>
      </c>
      <c r="D233" t="s">
        <v>84</v>
      </c>
      <c r="E233" t="s">
        <v>18</v>
      </c>
      <c r="F233" t="s">
        <v>19</v>
      </c>
      <c r="G233" s="10">
        <v>5</v>
      </c>
      <c r="H233">
        <v>11273.27</v>
      </c>
      <c r="I233" s="6">
        <v>0</v>
      </c>
      <c r="J233" s="8">
        <v>1496.19</v>
      </c>
      <c r="K233" s="4" t="s">
        <v>42</v>
      </c>
      <c r="L233" t="s">
        <v>36</v>
      </c>
      <c r="M233">
        <f t="shared" si="9"/>
        <v>0</v>
      </c>
      <c r="N233" s="6">
        <f t="shared" si="10"/>
        <v>0.13272014242540098</v>
      </c>
      <c r="O233" s="6" t="str">
        <f t="shared" si="11"/>
        <v>Apr</v>
      </c>
    </row>
    <row r="234" spans="1:15">
      <c r="A234" t="s">
        <v>430</v>
      </c>
      <c r="B234" s="2">
        <v>45991</v>
      </c>
      <c r="C234" t="s">
        <v>431</v>
      </c>
      <c r="D234" t="s">
        <v>24</v>
      </c>
      <c r="E234" t="s">
        <v>25</v>
      </c>
      <c r="F234" t="s">
        <v>107</v>
      </c>
      <c r="G234" s="10">
        <v>1</v>
      </c>
      <c r="H234">
        <v>447.33</v>
      </c>
      <c r="I234" s="6">
        <v>0.15</v>
      </c>
      <c r="J234" s="8">
        <v>106.42</v>
      </c>
      <c r="K234" s="4" t="s">
        <v>65</v>
      </c>
      <c r="L234" t="s">
        <v>21</v>
      </c>
      <c r="M234">
        <f t="shared" si="9"/>
        <v>67.099499999999992</v>
      </c>
      <c r="N234" s="6">
        <f t="shared" si="10"/>
        <v>0.23790043144881856</v>
      </c>
      <c r="O234" s="6" t="str">
        <f t="shared" si="11"/>
        <v>Nov</v>
      </c>
    </row>
    <row r="235" spans="1:15">
      <c r="A235" t="s">
        <v>432</v>
      </c>
      <c r="B235" s="2">
        <v>45815</v>
      </c>
      <c r="C235" t="s">
        <v>414</v>
      </c>
      <c r="D235" t="s">
        <v>50</v>
      </c>
      <c r="E235" t="s">
        <v>40</v>
      </c>
      <c r="F235" t="s">
        <v>107</v>
      </c>
      <c r="G235" s="10">
        <v>4</v>
      </c>
      <c r="H235">
        <v>4683.95</v>
      </c>
      <c r="I235" s="6">
        <v>0.25</v>
      </c>
      <c r="J235" s="8">
        <v>1158.79</v>
      </c>
      <c r="K235" s="4" t="s">
        <v>42</v>
      </c>
      <c r="L235" t="s">
        <v>36</v>
      </c>
      <c r="M235">
        <f t="shared" si="9"/>
        <v>1170.9875</v>
      </c>
      <c r="N235" s="6">
        <f t="shared" si="10"/>
        <v>0.24739589449076099</v>
      </c>
      <c r="O235" s="6" t="str">
        <f t="shared" si="11"/>
        <v>Jun</v>
      </c>
    </row>
    <row r="236" spans="1:15">
      <c r="A236" t="s">
        <v>433</v>
      </c>
      <c r="B236" s="2">
        <v>45981</v>
      </c>
      <c r="C236" t="s">
        <v>434</v>
      </c>
      <c r="D236" t="s">
        <v>30</v>
      </c>
      <c r="E236" t="s">
        <v>18</v>
      </c>
      <c r="F236" t="s">
        <v>19</v>
      </c>
      <c r="G236" s="10">
        <v>3</v>
      </c>
      <c r="H236">
        <v>10053.870000000001</v>
      </c>
      <c r="I236" s="6">
        <v>0</v>
      </c>
      <c r="J236" s="8">
        <v>580.64</v>
      </c>
      <c r="K236" s="4" t="s">
        <v>42</v>
      </c>
      <c r="L236" t="s">
        <v>21</v>
      </c>
      <c r="M236">
        <f t="shared" si="9"/>
        <v>0</v>
      </c>
      <c r="N236" s="6">
        <f t="shared" si="10"/>
        <v>5.7752885207387798E-2</v>
      </c>
      <c r="O236" s="6" t="str">
        <f t="shared" si="11"/>
        <v>Nov</v>
      </c>
    </row>
    <row r="237" spans="1:15">
      <c r="A237" t="s">
        <v>435</v>
      </c>
      <c r="B237" s="2">
        <v>45965</v>
      </c>
      <c r="C237" t="s">
        <v>436</v>
      </c>
      <c r="D237" t="s">
        <v>72</v>
      </c>
      <c r="E237" t="s">
        <v>69</v>
      </c>
      <c r="F237" t="s">
        <v>107</v>
      </c>
      <c r="G237" s="10">
        <v>5</v>
      </c>
      <c r="H237">
        <v>47005.43</v>
      </c>
      <c r="I237" s="6">
        <v>0.2</v>
      </c>
      <c r="J237" s="8">
        <v>9176.39</v>
      </c>
      <c r="K237" s="4" t="s">
        <v>32</v>
      </c>
      <c r="L237" t="s">
        <v>36</v>
      </c>
      <c r="M237">
        <f t="shared" si="9"/>
        <v>9401.0860000000011</v>
      </c>
      <c r="N237" s="6">
        <f t="shared" si="10"/>
        <v>0.19521978630979442</v>
      </c>
      <c r="O237" s="6" t="str">
        <f t="shared" si="11"/>
        <v>Nov</v>
      </c>
    </row>
    <row r="238" spans="1:15">
      <c r="A238" t="s">
        <v>437</v>
      </c>
      <c r="B238" s="2">
        <v>45733</v>
      </c>
      <c r="C238" t="s">
        <v>424</v>
      </c>
      <c r="D238" t="s">
        <v>217</v>
      </c>
      <c r="E238" t="s">
        <v>18</v>
      </c>
      <c r="F238" t="s">
        <v>31</v>
      </c>
      <c r="G238" s="10">
        <v>5</v>
      </c>
      <c r="H238">
        <v>16527.87</v>
      </c>
      <c r="I238" s="6">
        <v>0.15</v>
      </c>
      <c r="J238" s="8">
        <v>4381.3900000000003</v>
      </c>
      <c r="K238" s="4" t="s">
        <v>65</v>
      </c>
      <c r="L238" t="s">
        <v>21</v>
      </c>
      <c r="M238">
        <f t="shared" si="9"/>
        <v>2479.1804999999999</v>
      </c>
      <c r="N238" s="6">
        <f t="shared" si="10"/>
        <v>0.26509102503831411</v>
      </c>
      <c r="O238" s="6" t="str">
        <f t="shared" si="11"/>
        <v>Mar</v>
      </c>
    </row>
    <row r="239" spans="1:15">
      <c r="A239" t="s">
        <v>438</v>
      </c>
      <c r="B239" s="2">
        <v>45718</v>
      </c>
      <c r="C239" t="s">
        <v>439</v>
      </c>
      <c r="D239" t="s">
        <v>191</v>
      </c>
      <c r="E239" t="s">
        <v>69</v>
      </c>
      <c r="F239" t="s">
        <v>41</v>
      </c>
      <c r="G239" s="10">
        <v>4</v>
      </c>
      <c r="H239">
        <v>142493.04999999999</v>
      </c>
      <c r="I239" s="6">
        <v>0.1</v>
      </c>
      <c r="J239" s="8">
        <v>14211.22</v>
      </c>
      <c r="K239" s="4" t="s">
        <v>65</v>
      </c>
      <c r="L239" t="s">
        <v>36</v>
      </c>
      <c r="M239">
        <f t="shared" si="9"/>
        <v>14249.305</v>
      </c>
      <c r="N239" s="6">
        <f t="shared" si="10"/>
        <v>9.9732723806529519E-2</v>
      </c>
      <c r="O239" s="6" t="str">
        <f t="shared" si="11"/>
        <v>Mar</v>
      </c>
    </row>
    <row r="240" spans="1:15">
      <c r="A240" t="s">
        <v>440</v>
      </c>
      <c r="B240" s="2">
        <v>45799</v>
      </c>
      <c r="C240" t="s">
        <v>371</v>
      </c>
      <c r="D240" t="s">
        <v>72</v>
      </c>
      <c r="E240" t="s">
        <v>69</v>
      </c>
      <c r="F240" t="s">
        <v>77</v>
      </c>
      <c r="G240" s="10">
        <v>3</v>
      </c>
      <c r="H240">
        <v>75295.009999999995</v>
      </c>
      <c r="I240" s="6">
        <v>0.15</v>
      </c>
      <c r="J240" s="8">
        <v>7896.6</v>
      </c>
      <c r="K240" s="4" t="s">
        <v>65</v>
      </c>
      <c r="L240" t="s">
        <v>36</v>
      </c>
      <c r="M240">
        <f t="shared" si="9"/>
        <v>11294.251499999998</v>
      </c>
      <c r="N240" s="6">
        <f t="shared" si="10"/>
        <v>0.10487547581174371</v>
      </c>
      <c r="O240" s="6" t="str">
        <f t="shared" si="11"/>
        <v>May</v>
      </c>
    </row>
    <row r="241" spans="1:15">
      <c r="A241" t="s">
        <v>441</v>
      </c>
      <c r="B241" s="2">
        <v>46010</v>
      </c>
      <c r="C241" t="s">
        <v>315</v>
      </c>
      <c r="D241" t="s">
        <v>87</v>
      </c>
      <c r="E241" t="s">
        <v>25</v>
      </c>
      <c r="F241" t="s">
        <v>70</v>
      </c>
      <c r="G241" s="10">
        <v>2</v>
      </c>
      <c r="H241">
        <v>3960.65</v>
      </c>
      <c r="I241" s="6">
        <v>0.2</v>
      </c>
      <c r="J241" s="8">
        <v>734.08</v>
      </c>
      <c r="K241" s="4" t="s">
        <v>65</v>
      </c>
      <c r="L241" t="s">
        <v>21</v>
      </c>
      <c r="M241">
        <f t="shared" si="9"/>
        <v>792.13000000000011</v>
      </c>
      <c r="N241" s="6">
        <f t="shared" si="10"/>
        <v>0.1853433148599346</v>
      </c>
      <c r="O241" s="6" t="str">
        <f t="shared" si="11"/>
        <v>Dec</v>
      </c>
    </row>
    <row r="242" spans="1:15">
      <c r="A242" t="s">
        <v>442</v>
      </c>
      <c r="B242" s="2">
        <v>45674</v>
      </c>
      <c r="C242" t="s">
        <v>410</v>
      </c>
      <c r="D242" t="s">
        <v>50</v>
      </c>
      <c r="E242" t="s">
        <v>40</v>
      </c>
      <c r="F242" t="s">
        <v>77</v>
      </c>
      <c r="G242" s="10">
        <v>5</v>
      </c>
      <c r="H242">
        <v>5133.76</v>
      </c>
      <c r="I242" s="6">
        <v>0</v>
      </c>
      <c r="J242" s="8">
        <v>305.51</v>
      </c>
      <c r="K242" s="4" t="s">
        <v>32</v>
      </c>
      <c r="L242" t="s">
        <v>21</v>
      </c>
      <c r="M242">
        <f t="shared" si="9"/>
        <v>0</v>
      </c>
      <c r="N242" s="6">
        <f t="shared" si="10"/>
        <v>5.9509988780153331E-2</v>
      </c>
      <c r="O242" s="6" t="str">
        <f t="shared" si="11"/>
        <v>Jan</v>
      </c>
    </row>
    <row r="243" spans="1:15">
      <c r="A243" t="s">
        <v>443</v>
      </c>
      <c r="B243" s="2">
        <v>45765</v>
      </c>
      <c r="C243" t="s">
        <v>371</v>
      </c>
      <c r="D243" t="s">
        <v>50</v>
      </c>
      <c r="E243" t="s">
        <v>40</v>
      </c>
      <c r="F243" t="s">
        <v>19</v>
      </c>
      <c r="G243" s="10">
        <v>3</v>
      </c>
      <c r="H243">
        <v>2819.51</v>
      </c>
      <c r="I243" s="6">
        <v>0.2</v>
      </c>
      <c r="J243" s="8">
        <v>599.91</v>
      </c>
      <c r="K243" s="4" t="s">
        <v>65</v>
      </c>
      <c r="L243" t="s">
        <v>21</v>
      </c>
      <c r="M243">
        <f t="shared" si="9"/>
        <v>563.90200000000004</v>
      </c>
      <c r="N243" s="6">
        <f t="shared" si="10"/>
        <v>0.21277101340303808</v>
      </c>
      <c r="O243" s="6" t="str">
        <f t="shared" si="11"/>
        <v>Apr</v>
      </c>
    </row>
    <row r="244" spans="1:15">
      <c r="A244" t="s">
        <v>444</v>
      </c>
      <c r="B244" s="2">
        <v>45665</v>
      </c>
      <c r="C244" t="s">
        <v>89</v>
      </c>
      <c r="D244" t="s">
        <v>45</v>
      </c>
      <c r="E244" t="s">
        <v>18</v>
      </c>
      <c r="F244" t="s">
        <v>31</v>
      </c>
      <c r="G244" s="10">
        <v>1</v>
      </c>
      <c r="H244">
        <v>1963.74</v>
      </c>
      <c r="I244" s="6">
        <v>0.25</v>
      </c>
      <c r="J244" s="8">
        <v>263.72000000000003</v>
      </c>
      <c r="K244" s="4" t="s">
        <v>42</v>
      </c>
      <c r="L244" t="s">
        <v>21</v>
      </c>
      <c r="M244">
        <f t="shared" si="9"/>
        <v>490.935</v>
      </c>
      <c r="N244" s="6">
        <f t="shared" si="10"/>
        <v>0.13429476407263691</v>
      </c>
      <c r="O244" s="6" t="str">
        <f t="shared" si="11"/>
        <v>Jan</v>
      </c>
    </row>
    <row r="245" spans="1:15">
      <c r="A245" t="s">
        <v>445</v>
      </c>
      <c r="B245" s="2">
        <v>45784</v>
      </c>
      <c r="C245" t="s">
        <v>155</v>
      </c>
      <c r="D245" t="s">
        <v>250</v>
      </c>
      <c r="E245" t="s">
        <v>76</v>
      </c>
      <c r="F245" t="s">
        <v>41</v>
      </c>
      <c r="G245" s="10">
        <v>4</v>
      </c>
      <c r="H245">
        <v>21064.57</v>
      </c>
      <c r="I245" s="6">
        <v>0.1</v>
      </c>
      <c r="J245" s="8">
        <v>3985.57</v>
      </c>
      <c r="K245" s="4" t="s">
        <v>65</v>
      </c>
      <c r="L245" t="s">
        <v>21</v>
      </c>
      <c r="M245">
        <f t="shared" si="9"/>
        <v>2106.4569999999999</v>
      </c>
      <c r="N245" s="6">
        <f t="shared" si="10"/>
        <v>0.18920728028153436</v>
      </c>
      <c r="O245" s="6" t="str">
        <f t="shared" si="11"/>
        <v>May</v>
      </c>
    </row>
    <row r="246" spans="1:15">
      <c r="A246" t="s">
        <v>446</v>
      </c>
      <c r="B246" s="2">
        <v>45915</v>
      </c>
      <c r="C246" t="s">
        <v>447</v>
      </c>
      <c r="D246" t="s">
        <v>58</v>
      </c>
      <c r="E246" t="s">
        <v>25</v>
      </c>
      <c r="F246" t="s">
        <v>77</v>
      </c>
      <c r="G246" s="10">
        <v>5</v>
      </c>
      <c r="H246">
        <v>16576.310000000001</v>
      </c>
      <c r="I246" s="6">
        <v>0.05</v>
      </c>
      <c r="J246" s="8">
        <v>4167.63</v>
      </c>
      <c r="K246" s="4" t="s">
        <v>27</v>
      </c>
      <c r="L246" t="s">
        <v>36</v>
      </c>
      <c r="M246">
        <f t="shared" si="9"/>
        <v>828.81550000000016</v>
      </c>
      <c r="N246" s="6">
        <f t="shared" si="10"/>
        <v>0.25142085301252209</v>
      </c>
      <c r="O246" s="6" t="str">
        <f t="shared" si="11"/>
        <v>Sep</v>
      </c>
    </row>
    <row r="247" spans="1:15">
      <c r="A247" t="s">
        <v>448</v>
      </c>
      <c r="B247" s="2">
        <v>45685</v>
      </c>
      <c r="C247" t="s">
        <v>249</v>
      </c>
      <c r="D247" t="s">
        <v>68</v>
      </c>
      <c r="E247" t="s">
        <v>69</v>
      </c>
      <c r="F247" t="s">
        <v>70</v>
      </c>
      <c r="G247" s="10">
        <v>3</v>
      </c>
      <c r="H247">
        <v>127653.49</v>
      </c>
      <c r="I247" s="6">
        <v>0.1</v>
      </c>
      <c r="J247" s="8">
        <v>28315.61</v>
      </c>
      <c r="K247" s="4" t="s">
        <v>27</v>
      </c>
      <c r="L247" t="s">
        <v>36</v>
      </c>
      <c r="M247">
        <f t="shared" si="9"/>
        <v>12765.349000000002</v>
      </c>
      <c r="N247" s="6">
        <f t="shared" si="10"/>
        <v>0.22181618379567999</v>
      </c>
      <c r="O247" s="6" t="str">
        <f t="shared" si="11"/>
        <v>Jan</v>
      </c>
    </row>
    <row r="248" spans="1:15">
      <c r="A248" t="s">
        <v>449</v>
      </c>
      <c r="B248" s="2">
        <v>45968</v>
      </c>
      <c r="C248" t="s">
        <v>143</v>
      </c>
      <c r="D248" t="s">
        <v>84</v>
      </c>
      <c r="E248" t="s">
        <v>18</v>
      </c>
      <c r="F248" t="s">
        <v>31</v>
      </c>
      <c r="G248" s="10">
        <v>5</v>
      </c>
      <c r="H248">
        <v>6870.4</v>
      </c>
      <c r="I248" s="6">
        <v>0.2</v>
      </c>
      <c r="J248" s="8">
        <v>582.03</v>
      </c>
      <c r="K248" s="4" t="s">
        <v>65</v>
      </c>
      <c r="L248" t="s">
        <v>21</v>
      </c>
      <c r="M248">
        <f t="shared" si="9"/>
        <v>1374.08</v>
      </c>
      <c r="N248" s="6">
        <f t="shared" si="10"/>
        <v>8.4715591523055425E-2</v>
      </c>
      <c r="O248" s="6" t="str">
        <f t="shared" si="11"/>
        <v>Nov</v>
      </c>
    </row>
    <row r="249" spans="1:15">
      <c r="A249" t="s">
        <v>450</v>
      </c>
      <c r="B249" s="2">
        <v>45764</v>
      </c>
      <c r="C249" t="s">
        <v>99</v>
      </c>
      <c r="D249" t="s">
        <v>90</v>
      </c>
      <c r="E249" t="s">
        <v>69</v>
      </c>
      <c r="F249" t="s">
        <v>35</v>
      </c>
      <c r="G249" s="10">
        <v>2</v>
      </c>
      <c r="H249">
        <v>42768.39</v>
      </c>
      <c r="I249" s="6">
        <v>0.2</v>
      </c>
      <c r="J249" s="8">
        <v>5488.52</v>
      </c>
      <c r="K249" s="4" t="s">
        <v>42</v>
      </c>
      <c r="L249" t="s">
        <v>36</v>
      </c>
      <c r="M249">
        <f t="shared" si="9"/>
        <v>8553.6779999999999</v>
      </c>
      <c r="N249" s="6">
        <f t="shared" si="10"/>
        <v>0.1283312278063308</v>
      </c>
      <c r="O249" s="6" t="str">
        <f t="shared" si="11"/>
        <v>Apr</v>
      </c>
    </row>
    <row r="250" spans="1:15">
      <c r="A250" t="s">
        <v>451</v>
      </c>
      <c r="B250" s="2">
        <v>45829</v>
      </c>
      <c r="C250" t="s">
        <v>452</v>
      </c>
      <c r="D250" t="s">
        <v>53</v>
      </c>
      <c r="E250" t="s">
        <v>25</v>
      </c>
      <c r="F250" t="s">
        <v>41</v>
      </c>
      <c r="G250" s="10">
        <v>1</v>
      </c>
      <c r="H250">
        <v>2093.0700000000002</v>
      </c>
      <c r="I250" s="6">
        <v>0.1</v>
      </c>
      <c r="J250" s="8">
        <v>404.46</v>
      </c>
      <c r="K250" s="4" t="s">
        <v>42</v>
      </c>
      <c r="L250" t="s">
        <v>21</v>
      </c>
      <c r="M250">
        <f t="shared" si="9"/>
        <v>209.30700000000002</v>
      </c>
      <c r="N250" s="6">
        <f t="shared" si="10"/>
        <v>0.19323768435838265</v>
      </c>
      <c r="O250" s="6" t="str">
        <f t="shared" si="11"/>
        <v>Jun</v>
      </c>
    </row>
    <row r="251" spans="1:15">
      <c r="A251" t="s">
        <v>453</v>
      </c>
      <c r="B251" s="2">
        <v>45664</v>
      </c>
      <c r="C251" t="s">
        <v>196</v>
      </c>
      <c r="D251" t="s">
        <v>250</v>
      </c>
      <c r="E251" t="s">
        <v>76</v>
      </c>
      <c r="F251" t="s">
        <v>107</v>
      </c>
      <c r="G251" s="10">
        <v>4</v>
      </c>
      <c r="H251">
        <v>4597.1499999999996</v>
      </c>
      <c r="I251" s="6">
        <v>0</v>
      </c>
      <c r="J251" s="8">
        <v>689.18</v>
      </c>
      <c r="K251" s="4" t="s">
        <v>27</v>
      </c>
      <c r="L251" t="s">
        <v>21</v>
      </c>
      <c r="M251">
        <f t="shared" si="9"/>
        <v>0</v>
      </c>
      <c r="N251" s="6">
        <f t="shared" si="10"/>
        <v>0.1499146210151942</v>
      </c>
      <c r="O251" s="6" t="str">
        <f t="shared" si="11"/>
        <v>Jan</v>
      </c>
    </row>
    <row r="252" spans="1:15">
      <c r="A252" t="s">
        <v>454</v>
      </c>
      <c r="B252" s="2">
        <v>45783</v>
      </c>
      <c r="C252" t="s">
        <v>455</v>
      </c>
      <c r="D252" t="s">
        <v>84</v>
      </c>
      <c r="E252" t="s">
        <v>18</v>
      </c>
      <c r="F252" t="s">
        <v>19</v>
      </c>
      <c r="G252" s="10">
        <v>3</v>
      </c>
      <c r="H252">
        <v>3110.91</v>
      </c>
      <c r="I252" s="6">
        <v>0.25</v>
      </c>
      <c r="J252" s="8">
        <v>762.57</v>
      </c>
      <c r="K252" s="4" t="s">
        <v>42</v>
      </c>
      <c r="L252" t="s">
        <v>21</v>
      </c>
      <c r="M252">
        <f t="shared" si="9"/>
        <v>777.72749999999996</v>
      </c>
      <c r="N252" s="6">
        <f t="shared" si="10"/>
        <v>0.24512763146474828</v>
      </c>
      <c r="O252" s="6" t="str">
        <f t="shared" si="11"/>
        <v>May</v>
      </c>
    </row>
    <row r="253" spans="1:15">
      <c r="A253" t="s">
        <v>456</v>
      </c>
      <c r="B253" s="2">
        <v>46022</v>
      </c>
      <c r="C253" t="s">
        <v>74</v>
      </c>
      <c r="D253" t="s">
        <v>90</v>
      </c>
      <c r="E253" t="s">
        <v>69</v>
      </c>
      <c r="F253" t="s">
        <v>35</v>
      </c>
      <c r="G253" s="10">
        <v>2</v>
      </c>
      <c r="H253">
        <v>57554.75</v>
      </c>
      <c r="I253" s="6">
        <v>0.1</v>
      </c>
      <c r="J253" s="8">
        <v>11026.87</v>
      </c>
      <c r="K253" s="4" t="s">
        <v>32</v>
      </c>
      <c r="L253" t="s">
        <v>36</v>
      </c>
      <c r="M253">
        <f t="shared" si="9"/>
        <v>5755.4750000000004</v>
      </c>
      <c r="N253" s="6">
        <f t="shared" si="10"/>
        <v>0.19158922591098043</v>
      </c>
      <c r="O253" s="6" t="str">
        <f t="shared" si="11"/>
        <v>Dec</v>
      </c>
    </row>
    <row r="254" spans="1:15">
      <c r="A254" t="s">
        <v>457</v>
      </c>
      <c r="B254" s="2">
        <v>45963</v>
      </c>
      <c r="C254" t="s">
        <v>458</v>
      </c>
      <c r="D254" t="s">
        <v>53</v>
      </c>
      <c r="E254" t="s">
        <v>25</v>
      </c>
      <c r="F254" t="s">
        <v>107</v>
      </c>
      <c r="G254" s="10">
        <v>3</v>
      </c>
      <c r="H254">
        <v>2378.86</v>
      </c>
      <c r="I254" s="6">
        <v>0.2</v>
      </c>
      <c r="J254" s="8">
        <v>256.04000000000002</v>
      </c>
      <c r="K254" s="4" t="s">
        <v>20</v>
      </c>
      <c r="L254" t="s">
        <v>21</v>
      </c>
      <c r="M254">
        <f t="shared" si="9"/>
        <v>475.77200000000005</v>
      </c>
      <c r="N254" s="6">
        <f t="shared" si="10"/>
        <v>0.10763138646242318</v>
      </c>
      <c r="O254" s="6" t="str">
        <f t="shared" si="11"/>
        <v>Nov</v>
      </c>
    </row>
    <row r="255" spans="1:15">
      <c r="A255" t="s">
        <v>459</v>
      </c>
      <c r="B255" s="2">
        <v>45791</v>
      </c>
      <c r="C255" t="s">
        <v>400</v>
      </c>
      <c r="D255" t="s">
        <v>56</v>
      </c>
      <c r="E255" t="s">
        <v>40</v>
      </c>
      <c r="F255" t="s">
        <v>31</v>
      </c>
      <c r="G255" s="10">
        <v>4</v>
      </c>
      <c r="H255">
        <v>9953.7199999999993</v>
      </c>
      <c r="I255" s="6">
        <v>0</v>
      </c>
      <c r="J255" s="8">
        <v>2836.28</v>
      </c>
      <c r="K255" s="4" t="s">
        <v>42</v>
      </c>
      <c r="L255" t="s">
        <v>36</v>
      </c>
      <c r="M255">
        <f t="shared" si="9"/>
        <v>0</v>
      </c>
      <c r="N255" s="6">
        <f t="shared" si="10"/>
        <v>0.28494673348255734</v>
      </c>
      <c r="O255" s="6" t="str">
        <f t="shared" si="11"/>
        <v>May</v>
      </c>
    </row>
    <row r="256" spans="1:15">
      <c r="A256" t="s">
        <v>460</v>
      </c>
      <c r="B256" s="2">
        <v>45962</v>
      </c>
      <c r="C256" t="s">
        <v>196</v>
      </c>
      <c r="D256" t="s">
        <v>17</v>
      </c>
      <c r="E256" t="s">
        <v>18</v>
      </c>
      <c r="F256" t="s">
        <v>70</v>
      </c>
      <c r="G256" s="10">
        <v>5</v>
      </c>
      <c r="H256">
        <v>8469.2900000000009</v>
      </c>
      <c r="I256" s="6">
        <v>0.25</v>
      </c>
      <c r="J256" s="8">
        <v>853.52</v>
      </c>
      <c r="K256" s="4" t="s">
        <v>27</v>
      </c>
      <c r="L256" t="s">
        <v>21</v>
      </c>
      <c r="M256">
        <f t="shared" si="9"/>
        <v>2117.3225000000002</v>
      </c>
      <c r="N256" s="6">
        <f t="shared" si="10"/>
        <v>0.10077822344021753</v>
      </c>
      <c r="O256" s="6" t="str">
        <f t="shared" si="11"/>
        <v>Nov</v>
      </c>
    </row>
    <row r="257" spans="1:15">
      <c r="A257" t="s">
        <v>461</v>
      </c>
      <c r="B257" s="2">
        <v>45678</v>
      </c>
      <c r="C257" t="s">
        <v>158</v>
      </c>
      <c r="D257" t="s">
        <v>56</v>
      </c>
      <c r="E257" t="s">
        <v>40</v>
      </c>
      <c r="F257" t="s">
        <v>19</v>
      </c>
      <c r="G257" s="10">
        <v>4</v>
      </c>
      <c r="H257">
        <v>7204.77</v>
      </c>
      <c r="I257" s="6">
        <v>0.15</v>
      </c>
      <c r="J257" s="8">
        <v>959.55</v>
      </c>
      <c r="K257" s="4" t="s">
        <v>20</v>
      </c>
      <c r="L257" t="s">
        <v>21</v>
      </c>
      <c r="M257">
        <f t="shared" si="9"/>
        <v>1080.7155</v>
      </c>
      <c r="N257" s="6">
        <f t="shared" si="10"/>
        <v>0.13318259986092545</v>
      </c>
      <c r="O257" s="6" t="str">
        <f t="shared" si="11"/>
        <v>Jan</v>
      </c>
    </row>
    <row r="258" spans="1:15">
      <c r="A258" t="s">
        <v>462</v>
      </c>
      <c r="B258" s="2">
        <v>45930</v>
      </c>
      <c r="C258" t="s">
        <v>312</v>
      </c>
      <c r="D258" t="s">
        <v>75</v>
      </c>
      <c r="E258" t="s">
        <v>76</v>
      </c>
      <c r="F258" t="s">
        <v>107</v>
      </c>
      <c r="G258" s="10">
        <v>3</v>
      </c>
      <c r="H258">
        <v>29845.27</v>
      </c>
      <c r="I258" s="6">
        <v>0.25</v>
      </c>
      <c r="J258" s="8">
        <v>5385.18</v>
      </c>
      <c r="K258" s="4" t="s">
        <v>20</v>
      </c>
      <c r="L258" t="s">
        <v>36</v>
      </c>
      <c r="M258">
        <f t="shared" si="9"/>
        <v>7461.3175000000001</v>
      </c>
      <c r="N258" s="6">
        <f t="shared" si="10"/>
        <v>0.18043663200232399</v>
      </c>
      <c r="O258" s="6" t="str">
        <f t="shared" si="11"/>
        <v>Sep</v>
      </c>
    </row>
    <row r="259" spans="1:15">
      <c r="A259" t="s">
        <v>463</v>
      </c>
      <c r="B259" s="2">
        <v>45821</v>
      </c>
      <c r="C259" t="s">
        <v>464</v>
      </c>
      <c r="D259" t="s">
        <v>50</v>
      </c>
      <c r="E259" t="s">
        <v>40</v>
      </c>
      <c r="F259" t="s">
        <v>107</v>
      </c>
      <c r="G259" s="10">
        <v>3</v>
      </c>
      <c r="H259">
        <v>1479.16</v>
      </c>
      <c r="I259" s="6">
        <v>0.1</v>
      </c>
      <c r="J259" s="8">
        <v>371.56</v>
      </c>
      <c r="K259" s="4" t="s">
        <v>42</v>
      </c>
      <c r="L259" t="s">
        <v>36</v>
      </c>
      <c r="M259">
        <f t="shared" ref="M259:M322" si="12">H259*I259</f>
        <v>147.91600000000003</v>
      </c>
      <c r="N259" s="6">
        <f t="shared" ref="N259:N322" si="13">IFERROR(J259/H259,0)</f>
        <v>0.25119662511154978</v>
      </c>
      <c r="O259" s="6" t="str">
        <f t="shared" ref="O259:O322" si="14">TEXT(B259,"mmm")</f>
        <v>Jun</v>
      </c>
    </row>
    <row r="260" spans="1:15">
      <c r="A260" t="s">
        <v>465</v>
      </c>
      <c r="B260" s="2">
        <v>45841</v>
      </c>
      <c r="C260" t="s">
        <v>354</v>
      </c>
      <c r="D260" t="s">
        <v>87</v>
      </c>
      <c r="E260" t="s">
        <v>25</v>
      </c>
      <c r="F260" t="s">
        <v>70</v>
      </c>
      <c r="G260" s="10">
        <v>4</v>
      </c>
      <c r="H260">
        <v>9476.73</v>
      </c>
      <c r="I260" s="6">
        <v>0.05</v>
      </c>
      <c r="J260" s="8">
        <v>2669.95</v>
      </c>
      <c r="K260" s="4" t="s">
        <v>27</v>
      </c>
      <c r="L260" t="s">
        <v>21</v>
      </c>
      <c r="M260">
        <f t="shared" si="12"/>
        <v>473.8365</v>
      </c>
      <c r="N260" s="6">
        <f t="shared" si="13"/>
        <v>0.28173747695671397</v>
      </c>
      <c r="O260" s="6" t="str">
        <f t="shared" si="14"/>
        <v>Jul</v>
      </c>
    </row>
    <row r="261" spans="1:15">
      <c r="A261" t="s">
        <v>466</v>
      </c>
      <c r="B261" s="2">
        <v>45727</v>
      </c>
      <c r="C261" t="s">
        <v>133</v>
      </c>
      <c r="D261" t="s">
        <v>217</v>
      </c>
      <c r="E261" t="s">
        <v>18</v>
      </c>
      <c r="F261" t="s">
        <v>31</v>
      </c>
      <c r="G261" s="10">
        <v>2</v>
      </c>
      <c r="H261">
        <v>3721.3</v>
      </c>
      <c r="I261" s="6">
        <v>0.1</v>
      </c>
      <c r="J261" s="8">
        <v>350.68</v>
      </c>
      <c r="K261" s="4" t="s">
        <v>32</v>
      </c>
      <c r="L261" t="s">
        <v>21</v>
      </c>
      <c r="M261">
        <f t="shared" si="12"/>
        <v>372.13000000000005</v>
      </c>
      <c r="N261" s="6">
        <f t="shared" si="13"/>
        <v>9.4235885308897427E-2</v>
      </c>
      <c r="O261" s="6" t="str">
        <f t="shared" si="14"/>
        <v>Mar</v>
      </c>
    </row>
    <row r="262" spans="1:15">
      <c r="A262" t="s">
        <v>467</v>
      </c>
      <c r="B262" s="2">
        <v>45876</v>
      </c>
      <c r="C262" t="s">
        <v>312</v>
      </c>
      <c r="D262" t="s">
        <v>72</v>
      </c>
      <c r="E262" t="s">
        <v>69</v>
      </c>
      <c r="F262" t="s">
        <v>31</v>
      </c>
      <c r="G262" s="10">
        <v>2</v>
      </c>
      <c r="H262">
        <v>49758.77</v>
      </c>
      <c r="I262" s="6">
        <v>0.15</v>
      </c>
      <c r="J262" s="8">
        <v>11862.01</v>
      </c>
      <c r="K262" s="4" t="s">
        <v>65</v>
      </c>
      <c r="L262" t="s">
        <v>36</v>
      </c>
      <c r="M262">
        <f t="shared" si="12"/>
        <v>7463.8154999999988</v>
      </c>
      <c r="N262" s="6">
        <f t="shared" si="13"/>
        <v>0.23839033802483464</v>
      </c>
      <c r="O262" s="6" t="str">
        <f t="shared" si="14"/>
        <v>Aug</v>
      </c>
    </row>
    <row r="263" spans="1:15">
      <c r="A263" t="s">
        <v>468</v>
      </c>
      <c r="B263" s="2">
        <v>45882</v>
      </c>
      <c r="C263" t="s">
        <v>130</v>
      </c>
      <c r="D263" t="s">
        <v>50</v>
      </c>
      <c r="E263" t="s">
        <v>40</v>
      </c>
      <c r="F263" t="s">
        <v>77</v>
      </c>
      <c r="G263" s="10">
        <v>3</v>
      </c>
      <c r="H263">
        <v>2569.79</v>
      </c>
      <c r="I263" s="6">
        <v>0.1</v>
      </c>
      <c r="J263" s="8">
        <v>406.57</v>
      </c>
      <c r="K263" s="4" t="s">
        <v>20</v>
      </c>
      <c r="L263" t="s">
        <v>21</v>
      </c>
      <c r="M263">
        <f t="shared" si="12"/>
        <v>256.97899999999998</v>
      </c>
      <c r="N263" s="6">
        <f t="shared" si="13"/>
        <v>0.1582113713571926</v>
      </c>
      <c r="O263" s="6" t="str">
        <f t="shared" si="14"/>
        <v>Aug</v>
      </c>
    </row>
    <row r="264" spans="1:15">
      <c r="A264" t="s">
        <v>469</v>
      </c>
      <c r="B264" s="2">
        <v>45980</v>
      </c>
      <c r="C264" t="s">
        <v>455</v>
      </c>
      <c r="D264" t="s">
        <v>124</v>
      </c>
      <c r="E264" t="s">
        <v>76</v>
      </c>
      <c r="F264" t="s">
        <v>41</v>
      </c>
      <c r="G264" s="10">
        <v>2</v>
      </c>
      <c r="H264">
        <v>3673.96</v>
      </c>
      <c r="I264" s="6">
        <v>0.25</v>
      </c>
      <c r="J264" s="8">
        <v>694.35</v>
      </c>
      <c r="K264" s="4" t="s">
        <v>32</v>
      </c>
      <c r="L264" t="s">
        <v>36</v>
      </c>
      <c r="M264">
        <f t="shared" si="12"/>
        <v>918.49</v>
      </c>
      <c r="N264" s="6">
        <f t="shared" si="13"/>
        <v>0.18899225903384903</v>
      </c>
      <c r="O264" s="6" t="str">
        <f t="shared" si="14"/>
        <v>Nov</v>
      </c>
    </row>
    <row r="265" spans="1:15">
      <c r="A265" t="s">
        <v>470</v>
      </c>
      <c r="B265" s="2">
        <v>45921</v>
      </c>
      <c r="C265" t="s">
        <v>471</v>
      </c>
      <c r="D265" t="s">
        <v>72</v>
      </c>
      <c r="E265" t="s">
        <v>69</v>
      </c>
      <c r="F265" t="s">
        <v>41</v>
      </c>
      <c r="G265" s="10">
        <v>2</v>
      </c>
      <c r="H265">
        <v>80981.59</v>
      </c>
      <c r="I265" s="6">
        <v>0.25</v>
      </c>
      <c r="J265" s="8">
        <v>4343.41</v>
      </c>
      <c r="K265" s="4" t="s">
        <v>20</v>
      </c>
      <c r="L265" t="s">
        <v>21</v>
      </c>
      <c r="M265">
        <f t="shared" si="12"/>
        <v>20245.397499999999</v>
      </c>
      <c r="N265" s="6">
        <f t="shared" si="13"/>
        <v>5.3634535948232184E-2</v>
      </c>
      <c r="O265" s="6" t="str">
        <f t="shared" si="14"/>
        <v>Sep</v>
      </c>
    </row>
    <row r="266" spans="1:15">
      <c r="A266" t="s">
        <v>472</v>
      </c>
      <c r="B266" s="2">
        <v>45845</v>
      </c>
      <c r="C266" t="s">
        <v>187</v>
      </c>
      <c r="D266" t="s">
        <v>61</v>
      </c>
      <c r="E266" t="s">
        <v>40</v>
      </c>
      <c r="F266" t="s">
        <v>31</v>
      </c>
      <c r="G266" s="10">
        <v>1</v>
      </c>
      <c r="H266">
        <v>1677.7</v>
      </c>
      <c r="I266" s="6">
        <v>0.15</v>
      </c>
      <c r="J266" s="8">
        <v>385.59</v>
      </c>
      <c r="K266" s="4" t="s">
        <v>65</v>
      </c>
      <c r="L266" t="s">
        <v>21</v>
      </c>
      <c r="M266">
        <f t="shared" si="12"/>
        <v>251.655</v>
      </c>
      <c r="N266" s="6">
        <f t="shared" si="13"/>
        <v>0.22983250879179828</v>
      </c>
      <c r="O266" s="6" t="str">
        <f t="shared" si="14"/>
        <v>Jul</v>
      </c>
    </row>
    <row r="267" spans="1:15">
      <c r="A267" t="s">
        <v>473</v>
      </c>
      <c r="B267" s="2">
        <v>45729</v>
      </c>
      <c r="C267" t="s">
        <v>325</v>
      </c>
      <c r="D267" t="s">
        <v>84</v>
      </c>
      <c r="E267" t="s">
        <v>18</v>
      </c>
      <c r="F267" t="s">
        <v>107</v>
      </c>
      <c r="G267" s="10">
        <v>3</v>
      </c>
      <c r="H267">
        <v>6244.66</v>
      </c>
      <c r="I267" s="6">
        <v>0.2</v>
      </c>
      <c r="J267" s="8">
        <v>1783.47</v>
      </c>
      <c r="K267" s="4" t="s">
        <v>32</v>
      </c>
      <c r="L267" t="s">
        <v>21</v>
      </c>
      <c r="M267">
        <f t="shared" si="12"/>
        <v>1248.932</v>
      </c>
      <c r="N267" s="6">
        <f t="shared" si="13"/>
        <v>0.28559921597012489</v>
      </c>
      <c r="O267" s="6" t="str">
        <f t="shared" si="14"/>
        <v>Mar</v>
      </c>
    </row>
    <row r="268" spans="1:15">
      <c r="A268" t="s">
        <v>474</v>
      </c>
      <c r="B268" s="2">
        <v>45819</v>
      </c>
      <c r="C268" t="s">
        <v>416</v>
      </c>
      <c r="D268" t="s">
        <v>126</v>
      </c>
      <c r="E268" t="s">
        <v>76</v>
      </c>
      <c r="F268" t="s">
        <v>107</v>
      </c>
      <c r="G268" s="10">
        <v>2</v>
      </c>
      <c r="H268">
        <v>6018.53</v>
      </c>
      <c r="I268" s="6">
        <v>0.25</v>
      </c>
      <c r="J268" s="8">
        <v>530.44000000000005</v>
      </c>
      <c r="K268" s="4" t="s">
        <v>42</v>
      </c>
      <c r="L268" t="s">
        <v>21</v>
      </c>
      <c r="M268">
        <f t="shared" si="12"/>
        <v>1504.6324999999999</v>
      </c>
      <c r="N268" s="6">
        <f t="shared" si="13"/>
        <v>8.8134478020380408E-2</v>
      </c>
      <c r="O268" s="6" t="str">
        <f t="shared" si="14"/>
        <v>Jun</v>
      </c>
    </row>
    <row r="269" spans="1:15">
      <c r="A269" t="s">
        <v>475</v>
      </c>
      <c r="B269" s="2">
        <v>45878</v>
      </c>
      <c r="C269" t="s">
        <v>476</v>
      </c>
      <c r="D269" t="s">
        <v>53</v>
      </c>
      <c r="E269" t="s">
        <v>25</v>
      </c>
      <c r="F269" t="s">
        <v>107</v>
      </c>
      <c r="G269" s="10">
        <v>5</v>
      </c>
      <c r="H269">
        <v>21292.42</v>
      </c>
      <c r="I269" s="6">
        <v>0</v>
      </c>
      <c r="J269" s="8">
        <v>3869.8</v>
      </c>
      <c r="K269" s="4" t="s">
        <v>32</v>
      </c>
      <c r="L269" t="s">
        <v>21</v>
      </c>
      <c r="M269">
        <f t="shared" si="12"/>
        <v>0</v>
      </c>
      <c r="N269" s="6">
        <f t="shared" si="13"/>
        <v>0.18174542865489224</v>
      </c>
      <c r="O269" s="6" t="str">
        <f t="shared" si="14"/>
        <v>Aug</v>
      </c>
    </row>
    <row r="270" spans="1:15">
      <c r="A270" t="s">
        <v>477</v>
      </c>
      <c r="B270" s="2">
        <v>45994</v>
      </c>
      <c r="C270" t="s">
        <v>270</v>
      </c>
      <c r="D270" t="s">
        <v>68</v>
      </c>
      <c r="E270" t="s">
        <v>69</v>
      </c>
      <c r="F270" t="s">
        <v>77</v>
      </c>
      <c r="G270" s="10">
        <v>2</v>
      </c>
      <c r="H270">
        <v>57618.78</v>
      </c>
      <c r="I270" s="6">
        <v>0.25</v>
      </c>
      <c r="J270" s="8">
        <v>3946.08</v>
      </c>
      <c r="K270" s="4" t="s">
        <v>27</v>
      </c>
      <c r="L270" t="s">
        <v>21</v>
      </c>
      <c r="M270">
        <f t="shared" si="12"/>
        <v>14404.695</v>
      </c>
      <c r="N270" s="6">
        <f t="shared" si="13"/>
        <v>6.8486004042432005E-2</v>
      </c>
      <c r="O270" s="6" t="str">
        <f t="shared" si="14"/>
        <v>Dec</v>
      </c>
    </row>
    <row r="271" spans="1:15">
      <c r="A271" t="s">
        <v>478</v>
      </c>
      <c r="B271" s="2">
        <v>45992</v>
      </c>
      <c r="C271" t="s">
        <v>479</v>
      </c>
      <c r="D271" t="s">
        <v>17</v>
      </c>
      <c r="E271" t="s">
        <v>18</v>
      </c>
      <c r="F271" t="s">
        <v>35</v>
      </c>
      <c r="G271" s="10">
        <v>4</v>
      </c>
      <c r="H271">
        <v>2823.13</v>
      </c>
      <c r="I271" s="6">
        <v>0.05</v>
      </c>
      <c r="J271" s="8">
        <v>457.27</v>
      </c>
      <c r="K271" s="4" t="s">
        <v>27</v>
      </c>
      <c r="L271" t="s">
        <v>21</v>
      </c>
      <c r="M271">
        <f t="shared" si="12"/>
        <v>141.15650000000002</v>
      </c>
      <c r="N271" s="6">
        <f t="shared" si="13"/>
        <v>0.16197270405542782</v>
      </c>
      <c r="O271" s="6" t="str">
        <f t="shared" si="14"/>
        <v>Dec</v>
      </c>
    </row>
    <row r="272" spans="1:15">
      <c r="A272" t="s">
        <v>480</v>
      </c>
      <c r="B272" s="2">
        <v>45736</v>
      </c>
      <c r="C272" t="s">
        <v>29</v>
      </c>
      <c r="D272" t="s">
        <v>58</v>
      </c>
      <c r="E272" t="s">
        <v>25</v>
      </c>
      <c r="F272" t="s">
        <v>77</v>
      </c>
      <c r="G272" s="10">
        <v>1</v>
      </c>
      <c r="H272">
        <v>285.60000000000002</v>
      </c>
      <c r="I272" s="6">
        <v>0.05</v>
      </c>
      <c r="J272" s="8">
        <v>63.88</v>
      </c>
      <c r="K272" s="4" t="s">
        <v>65</v>
      </c>
      <c r="L272" t="s">
        <v>36</v>
      </c>
      <c r="M272">
        <f t="shared" si="12"/>
        <v>14.280000000000001</v>
      </c>
      <c r="N272" s="6">
        <f t="shared" si="13"/>
        <v>0.22366946778711483</v>
      </c>
      <c r="O272" s="6" t="str">
        <f t="shared" si="14"/>
        <v>Mar</v>
      </c>
    </row>
    <row r="273" spans="1:15">
      <c r="A273" t="s">
        <v>481</v>
      </c>
      <c r="B273" s="2">
        <v>45982</v>
      </c>
      <c r="C273" t="s">
        <v>44</v>
      </c>
      <c r="D273" t="s">
        <v>126</v>
      </c>
      <c r="E273" t="s">
        <v>76</v>
      </c>
      <c r="F273" t="s">
        <v>70</v>
      </c>
      <c r="G273" s="10">
        <v>4</v>
      </c>
      <c r="H273">
        <v>35977.949999999997</v>
      </c>
      <c r="I273" s="6">
        <v>0.2</v>
      </c>
      <c r="J273" s="8">
        <v>9056.61</v>
      </c>
      <c r="K273" s="4" t="s">
        <v>32</v>
      </c>
      <c r="L273" t="s">
        <v>21</v>
      </c>
      <c r="M273">
        <f t="shared" si="12"/>
        <v>7195.59</v>
      </c>
      <c r="N273" s="6">
        <f t="shared" si="13"/>
        <v>0.25172668259308828</v>
      </c>
      <c r="O273" s="6" t="str">
        <f t="shared" si="14"/>
        <v>Nov</v>
      </c>
    </row>
    <row r="274" spans="1:15">
      <c r="A274" t="s">
        <v>482</v>
      </c>
      <c r="B274" s="2">
        <v>45757</v>
      </c>
      <c r="C274" t="s">
        <v>418</v>
      </c>
      <c r="D274" t="s">
        <v>250</v>
      </c>
      <c r="E274" t="s">
        <v>76</v>
      </c>
      <c r="F274" t="s">
        <v>19</v>
      </c>
      <c r="G274" s="10">
        <v>2</v>
      </c>
      <c r="H274">
        <v>21491.43</v>
      </c>
      <c r="I274" s="6">
        <v>0.2</v>
      </c>
      <c r="J274" s="8">
        <v>3392.04</v>
      </c>
      <c r="K274" s="4" t="s">
        <v>42</v>
      </c>
      <c r="L274" t="s">
        <v>21</v>
      </c>
      <c r="M274">
        <f t="shared" si="12"/>
        <v>4298.2860000000001</v>
      </c>
      <c r="N274" s="6">
        <f t="shared" si="13"/>
        <v>0.15783221498057598</v>
      </c>
      <c r="O274" s="6" t="str">
        <f t="shared" si="14"/>
        <v>Apr</v>
      </c>
    </row>
    <row r="275" spans="1:15">
      <c r="A275" t="s">
        <v>483</v>
      </c>
      <c r="B275" s="2">
        <v>45973</v>
      </c>
      <c r="C275" t="s">
        <v>49</v>
      </c>
      <c r="D275" t="s">
        <v>191</v>
      </c>
      <c r="E275" t="s">
        <v>69</v>
      </c>
      <c r="F275" t="s">
        <v>70</v>
      </c>
      <c r="G275" s="10">
        <v>3</v>
      </c>
      <c r="H275">
        <v>156752.19</v>
      </c>
      <c r="I275" s="6">
        <v>0.05</v>
      </c>
      <c r="J275" s="8">
        <v>15743.6</v>
      </c>
      <c r="K275" s="4" t="s">
        <v>20</v>
      </c>
      <c r="L275" t="s">
        <v>36</v>
      </c>
      <c r="M275">
        <f t="shared" si="12"/>
        <v>7837.6095000000005</v>
      </c>
      <c r="N275" s="6">
        <f t="shared" si="13"/>
        <v>0.10043623632945735</v>
      </c>
      <c r="O275" s="6" t="str">
        <f t="shared" si="14"/>
        <v>Nov</v>
      </c>
    </row>
    <row r="276" spans="1:15">
      <c r="A276" t="s">
        <v>484</v>
      </c>
      <c r="B276" s="2">
        <v>45938</v>
      </c>
      <c r="C276" t="s">
        <v>485</v>
      </c>
      <c r="D276" t="s">
        <v>84</v>
      </c>
      <c r="E276" t="s">
        <v>18</v>
      </c>
      <c r="F276" t="s">
        <v>41</v>
      </c>
      <c r="G276" s="10">
        <v>1</v>
      </c>
      <c r="H276">
        <v>540.35</v>
      </c>
      <c r="I276" s="6">
        <v>0.1</v>
      </c>
      <c r="J276" s="8">
        <v>97.03</v>
      </c>
      <c r="K276" s="4" t="s">
        <v>20</v>
      </c>
      <c r="L276" t="s">
        <v>21</v>
      </c>
      <c r="M276">
        <f t="shared" si="12"/>
        <v>54.035000000000004</v>
      </c>
      <c r="N276" s="6">
        <f t="shared" si="13"/>
        <v>0.17956879800129544</v>
      </c>
      <c r="O276" s="6" t="str">
        <f t="shared" si="14"/>
        <v>Oct</v>
      </c>
    </row>
    <row r="277" spans="1:15">
      <c r="A277" t="s">
        <v>486</v>
      </c>
      <c r="B277" s="2">
        <v>45960</v>
      </c>
      <c r="C277" t="s">
        <v>325</v>
      </c>
      <c r="D277" t="s">
        <v>30</v>
      </c>
      <c r="E277" t="s">
        <v>18</v>
      </c>
      <c r="F277" t="s">
        <v>41</v>
      </c>
      <c r="G277" s="10">
        <v>2</v>
      </c>
      <c r="H277">
        <v>4699.46</v>
      </c>
      <c r="I277" s="6">
        <v>0.1</v>
      </c>
      <c r="J277" s="8">
        <v>748.46</v>
      </c>
      <c r="K277" s="4" t="s">
        <v>20</v>
      </c>
      <c r="L277" t="s">
        <v>21</v>
      </c>
      <c r="M277">
        <f t="shared" si="12"/>
        <v>469.94600000000003</v>
      </c>
      <c r="N277" s="6">
        <f t="shared" si="13"/>
        <v>0.15926510705485311</v>
      </c>
      <c r="O277" s="6" t="str">
        <f t="shared" si="14"/>
        <v>Oct</v>
      </c>
    </row>
    <row r="278" spans="1:15">
      <c r="A278" t="s">
        <v>487</v>
      </c>
      <c r="B278" s="2">
        <v>45673</v>
      </c>
      <c r="C278" t="s">
        <v>270</v>
      </c>
      <c r="D278" t="s">
        <v>64</v>
      </c>
      <c r="E278" t="s">
        <v>40</v>
      </c>
      <c r="F278" t="s">
        <v>26</v>
      </c>
      <c r="G278" s="10">
        <v>1</v>
      </c>
      <c r="H278">
        <v>1556.14</v>
      </c>
      <c r="I278" s="6">
        <v>0.1</v>
      </c>
      <c r="J278" s="8">
        <v>334.26</v>
      </c>
      <c r="K278" s="4" t="s">
        <v>20</v>
      </c>
      <c r="L278" t="s">
        <v>21</v>
      </c>
      <c r="M278">
        <f t="shared" si="12"/>
        <v>155.61400000000003</v>
      </c>
      <c r="N278" s="6">
        <f t="shared" si="13"/>
        <v>0.21480072487051291</v>
      </c>
      <c r="O278" s="6" t="str">
        <f t="shared" si="14"/>
        <v>Jan</v>
      </c>
    </row>
    <row r="279" spans="1:15">
      <c r="A279" t="s">
        <v>488</v>
      </c>
      <c r="B279" s="2">
        <v>45873</v>
      </c>
      <c r="C279" t="s">
        <v>489</v>
      </c>
      <c r="D279" t="s">
        <v>39</v>
      </c>
      <c r="E279" t="s">
        <v>40</v>
      </c>
      <c r="F279" t="s">
        <v>26</v>
      </c>
      <c r="G279" s="10">
        <v>4</v>
      </c>
      <c r="H279">
        <v>6500.27</v>
      </c>
      <c r="I279" s="6">
        <v>0.15</v>
      </c>
      <c r="J279" s="8">
        <v>1900.17</v>
      </c>
      <c r="K279" s="4" t="s">
        <v>65</v>
      </c>
      <c r="L279" t="s">
        <v>21</v>
      </c>
      <c r="M279">
        <f t="shared" si="12"/>
        <v>975.04050000000007</v>
      </c>
      <c r="N279" s="6">
        <f t="shared" si="13"/>
        <v>0.29232170356000597</v>
      </c>
      <c r="O279" s="6" t="str">
        <f t="shared" si="14"/>
        <v>Aug</v>
      </c>
    </row>
    <row r="280" spans="1:15">
      <c r="A280" t="s">
        <v>490</v>
      </c>
      <c r="B280" s="2">
        <v>45970</v>
      </c>
      <c r="C280" t="s">
        <v>180</v>
      </c>
      <c r="D280" t="s">
        <v>84</v>
      </c>
      <c r="E280" t="s">
        <v>18</v>
      </c>
      <c r="F280" t="s">
        <v>35</v>
      </c>
      <c r="G280" s="10">
        <v>1</v>
      </c>
      <c r="H280">
        <v>592.55999999999995</v>
      </c>
      <c r="I280" s="6">
        <v>0.05</v>
      </c>
      <c r="J280" s="8">
        <v>115.93</v>
      </c>
      <c r="K280" s="4" t="s">
        <v>20</v>
      </c>
      <c r="L280" t="s">
        <v>21</v>
      </c>
      <c r="M280">
        <f t="shared" si="12"/>
        <v>29.628</v>
      </c>
      <c r="N280" s="6">
        <f t="shared" si="13"/>
        <v>0.195642635344944</v>
      </c>
      <c r="O280" s="6" t="str">
        <f t="shared" si="14"/>
        <v>Nov</v>
      </c>
    </row>
    <row r="281" spans="1:15">
      <c r="A281" t="s">
        <v>491</v>
      </c>
      <c r="B281" s="2">
        <v>45795</v>
      </c>
      <c r="C281" t="s">
        <v>123</v>
      </c>
      <c r="D281" t="s">
        <v>126</v>
      </c>
      <c r="E281" t="s">
        <v>76</v>
      </c>
      <c r="F281" t="s">
        <v>19</v>
      </c>
      <c r="G281" s="10">
        <v>3</v>
      </c>
      <c r="H281">
        <v>17204.71</v>
      </c>
      <c r="I281" s="6">
        <v>0.25</v>
      </c>
      <c r="J281" s="8">
        <v>2976.43</v>
      </c>
      <c r="K281" s="4" t="s">
        <v>20</v>
      </c>
      <c r="L281" t="s">
        <v>21</v>
      </c>
      <c r="M281">
        <f t="shared" si="12"/>
        <v>4301.1774999999998</v>
      </c>
      <c r="N281" s="6">
        <f t="shared" si="13"/>
        <v>0.17300088173529227</v>
      </c>
      <c r="O281" s="6" t="str">
        <f t="shared" si="14"/>
        <v>May</v>
      </c>
    </row>
    <row r="282" spans="1:15">
      <c r="A282" t="s">
        <v>492</v>
      </c>
      <c r="B282" s="2">
        <v>46003</v>
      </c>
      <c r="C282" t="s">
        <v>102</v>
      </c>
      <c r="D282" t="s">
        <v>45</v>
      </c>
      <c r="E282" t="s">
        <v>18</v>
      </c>
      <c r="F282" t="s">
        <v>26</v>
      </c>
      <c r="G282" s="10">
        <v>1</v>
      </c>
      <c r="H282">
        <v>1177.32</v>
      </c>
      <c r="I282" s="6">
        <v>0.15</v>
      </c>
      <c r="J282" s="8">
        <v>153.06</v>
      </c>
      <c r="K282" s="4" t="s">
        <v>27</v>
      </c>
      <c r="L282" t="s">
        <v>21</v>
      </c>
      <c r="M282">
        <f t="shared" si="12"/>
        <v>176.59799999999998</v>
      </c>
      <c r="N282" s="6">
        <f t="shared" si="13"/>
        <v>0.13000713484863929</v>
      </c>
      <c r="O282" s="6" t="str">
        <f t="shared" si="14"/>
        <v>Dec</v>
      </c>
    </row>
    <row r="283" spans="1:15">
      <c r="A283" t="s">
        <v>493</v>
      </c>
      <c r="B283" s="2">
        <v>45832</v>
      </c>
      <c r="C283" t="s">
        <v>431</v>
      </c>
      <c r="D283" t="s">
        <v>39</v>
      </c>
      <c r="E283" t="s">
        <v>40</v>
      </c>
      <c r="F283" t="s">
        <v>41</v>
      </c>
      <c r="G283" s="10">
        <v>1</v>
      </c>
      <c r="H283">
        <v>390.35</v>
      </c>
      <c r="I283" s="6">
        <v>0.25</v>
      </c>
      <c r="J283" s="8">
        <v>63.44</v>
      </c>
      <c r="K283" s="4" t="s">
        <v>65</v>
      </c>
      <c r="L283" t="s">
        <v>21</v>
      </c>
      <c r="M283">
        <f t="shared" si="12"/>
        <v>97.587500000000006</v>
      </c>
      <c r="N283" s="6">
        <f t="shared" si="13"/>
        <v>0.16252081465351606</v>
      </c>
      <c r="O283" s="6" t="str">
        <f t="shared" si="14"/>
        <v>Jun</v>
      </c>
    </row>
    <row r="284" spans="1:15">
      <c r="A284" t="s">
        <v>494</v>
      </c>
      <c r="B284" s="2">
        <v>45669</v>
      </c>
      <c r="C284" t="s">
        <v>79</v>
      </c>
      <c r="D284" t="s">
        <v>30</v>
      </c>
      <c r="E284" t="s">
        <v>18</v>
      </c>
      <c r="F284" t="s">
        <v>41</v>
      </c>
      <c r="G284" s="10">
        <v>3</v>
      </c>
      <c r="H284">
        <v>6526.63</v>
      </c>
      <c r="I284" s="6">
        <v>0.2</v>
      </c>
      <c r="J284" s="8">
        <v>1699.8</v>
      </c>
      <c r="K284" s="4" t="s">
        <v>32</v>
      </c>
      <c r="L284" t="s">
        <v>21</v>
      </c>
      <c r="M284">
        <f t="shared" si="12"/>
        <v>1305.326</v>
      </c>
      <c r="N284" s="6">
        <f t="shared" si="13"/>
        <v>0.26044068684757676</v>
      </c>
      <c r="O284" s="6" t="str">
        <f t="shared" si="14"/>
        <v>Jan</v>
      </c>
    </row>
    <row r="285" spans="1:15">
      <c r="A285" t="s">
        <v>495</v>
      </c>
      <c r="B285" s="2">
        <v>45789</v>
      </c>
      <c r="C285" t="s">
        <v>496</v>
      </c>
      <c r="D285" t="s">
        <v>114</v>
      </c>
      <c r="E285" t="s">
        <v>69</v>
      </c>
      <c r="F285" t="s">
        <v>31</v>
      </c>
      <c r="G285" s="10">
        <v>3</v>
      </c>
      <c r="H285">
        <v>111337.67</v>
      </c>
      <c r="I285" s="6">
        <v>0.2</v>
      </c>
      <c r="J285" s="8">
        <v>12791.55</v>
      </c>
      <c r="K285" s="4" t="s">
        <v>42</v>
      </c>
      <c r="L285" t="s">
        <v>21</v>
      </c>
      <c r="M285">
        <f t="shared" si="12"/>
        <v>22267.534</v>
      </c>
      <c r="N285" s="6">
        <f t="shared" si="13"/>
        <v>0.11488968648257143</v>
      </c>
      <c r="O285" s="6" t="str">
        <f t="shared" si="14"/>
        <v>May</v>
      </c>
    </row>
    <row r="286" spans="1:15">
      <c r="A286" t="s">
        <v>497</v>
      </c>
      <c r="B286" s="2">
        <v>45761</v>
      </c>
      <c r="C286" t="s">
        <v>145</v>
      </c>
      <c r="D286" t="s">
        <v>250</v>
      </c>
      <c r="E286" t="s">
        <v>76</v>
      </c>
      <c r="F286" t="s">
        <v>26</v>
      </c>
      <c r="G286" s="10">
        <v>1</v>
      </c>
      <c r="H286">
        <v>3372.63</v>
      </c>
      <c r="I286" s="6">
        <v>0.15</v>
      </c>
      <c r="J286" s="8">
        <v>543.91999999999996</v>
      </c>
      <c r="K286" s="4" t="s">
        <v>65</v>
      </c>
      <c r="L286" t="s">
        <v>36</v>
      </c>
      <c r="M286">
        <f t="shared" si="12"/>
        <v>505.89449999999999</v>
      </c>
      <c r="N286" s="6">
        <f t="shared" si="13"/>
        <v>0.16127473218230282</v>
      </c>
      <c r="O286" s="6" t="str">
        <f t="shared" si="14"/>
        <v>Apr</v>
      </c>
    </row>
    <row r="287" spans="1:15">
      <c r="A287" t="s">
        <v>498</v>
      </c>
      <c r="B287" s="2">
        <v>46019</v>
      </c>
      <c r="C287" t="s">
        <v>258</v>
      </c>
      <c r="D287" t="s">
        <v>250</v>
      </c>
      <c r="E287" t="s">
        <v>76</v>
      </c>
      <c r="F287" t="s">
        <v>107</v>
      </c>
      <c r="G287" s="10">
        <v>1</v>
      </c>
      <c r="H287">
        <v>9048.75</v>
      </c>
      <c r="I287" s="6">
        <v>0.05</v>
      </c>
      <c r="J287" s="8">
        <v>1251.29</v>
      </c>
      <c r="K287" s="4" t="s">
        <v>20</v>
      </c>
      <c r="L287" t="s">
        <v>21</v>
      </c>
      <c r="M287">
        <f t="shared" si="12"/>
        <v>452.4375</v>
      </c>
      <c r="N287" s="6">
        <f t="shared" si="13"/>
        <v>0.13828318828567482</v>
      </c>
      <c r="O287" s="6" t="str">
        <f t="shared" si="14"/>
        <v>Dec</v>
      </c>
    </row>
    <row r="288" spans="1:15">
      <c r="A288" t="s">
        <v>499</v>
      </c>
      <c r="B288" s="2">
        <v>45706</v>
      </c>
      <c r="C288" t="s">
        <v>143</v>
      </c>
      <c r="D288" t="s">
        <v>217</v>
      </c>
      <c r="E288" t="s">
        <v>18</v>
      </c>
      <c r="F288" t="s">
        <v>41</v>
      </c>
      <c r="G288" s="10">
        <v>4</v>
      </c>
      <c r="H288">
        <v>4445.68</v>
      </c>
      <c r="I288" s="6">
        <v>0.25</v>
      </c>
      <c r="J288" s="8">
        <v>657.03</v>
      </c>
      <c r="K288" s="4" t="s">
        <v>27</v>
      </c>
      <c r="L288" t="s">
        <v>21</v>
      </c>
      <c r="M288">
        <f t="shared" si="12"/>
        <v>1111.42</v>
      </c>
      <c r="N288" s="6">
        <f t="shared" si="13"/>
        <v>0.14779066419535367</v>
      </c>
      <c r="O288" s="6" t="str">
        <f t="shared" si="14"/>
        <v>Feb</v>
      </c>
    </row>
    <row r="289" spans="1:15">
      <c r="A289" t="s">
        <v>500</v>
      </c>
      <c r="B289" s="2">
        <v>45965</v>
      </c>
      <c r="C289" t="s">
        <v>38</v>
      </c>
      <c r="D289" t="s">
        <v>124</v>
      </c>
      <c r="E289" t="s">
        <v>76</v>
      </c>
      <c r="F289" t="s">
        <v>35</v>
      </c>
      <c r="G289" s="10">
        <v>1</v>
      </c>
      <c r="H289">
        <v>5243.45</v>
      </c>
      <c r="I289" s="6">
        <v>0.25</v>
      </c>
      <c r="J289" s="8">
        <v>835.62</v>
      </c>
      <c r="K289" s="4" t="s">
        <v>20</v>
      </c>
      <c r="L289" t="s">
        <v>21</v>
      </c>
      <c r="M289">
        <f t="shared" si="12"/>
        <v>1310.8625</v>
      </c>
      <c r="N289" s="6">
        <f t="shared" si="13"/>
        <v>0.15936454052198457</v>
      </c>
      <c r="O289" s="6" t="str">
        <f t="shared" si="14"/>
        <v>Nov</v>
      </c>
    </row>
    <row r="290" spans="1:15">
      <c r="A290" t="s">
        <v>501</v>
      </c>
      <c r="B290" s="2">
        <v>45859</v>
      </c>
      <c r="C290" t="s">
        <v>310</v>
      </c>
      <c r="D290" t="s">
        <v>39</v>
      </c>
      <c r="E290" t="s">
        <v>40</v>
      </c>
      <c r="F290" t="s">
        <v>26</v>
      </c>
      <c r="G290" s="10">
        <v>5</v>
      </c>
      <c r="H290">
        <v>5768.3</v>
      </c>
      <c r="I290" s="6">
        <v>0.1</v>
      </c>
      <c r="J290" s="8">
        <v>569</v>
      </c>
      <c r="K290" s="4" t="s">
        <v>20</v>
      </c>
      <c r="L290" t="s">
        <v>36</v>
      </c>
      <c r="M290">
        <f t="shared" si="12"/>
        <v>576.83000000000004</v>
      </c>
      <c r="N290" s="6">
        <f t="shared" si="13"/>
        <v>9.8642581003068497E-2</v>
      </c>
      <c r="O290" s="6" t="str">
        <f t="shared" si="14"/>
        <v>Jul</v>
      </c>
    </row>
    <row r="291" spans="1:15">
      <c r="A291" t="s">
        <v>502</v>
      </c>
      <c r="B291" s="2">
        <v>45990</v>
      </c>
      <c r="C291" t="s">
        <v>92</v>
      </c>
      <c r="D291" t="s">
        <v>68</v>
      </c>
      <c r="E291" t="s">
        <v>69</v>
      </c>
      <c r="F291" t="s">
        <v>26</v>
      </c>
      <c r="G291" s="10">
        <v>2</v>
      </c>
      <c r="H291">
        <v>94542.09</v>
      </c>
      <c r="I291" s="6">
        <v>0.15</v>
      </c>
      <c r="J291" s="8">
        <v>20860.650000000001</v>
      </c>
      <c r="K291" s="4" t="s">
        <v>32</v>
      </c>
      <c r="L291" t="s">
        <v>21</v>
      </c>
      <c r="M291">
        <f t="shared" si="12"/>
        <v>14181.313499999998</v>
      </c>
      <c r="N291" s="6">
        <f t="shared" si="13"/>
        <v>0.22064934253092991</v>
      </c>
      <c r="O291" s="6" t="str">
        <f t="shared" si="14"/>
        <v>Nov</v>
      </c>
    </row>
    <row r="292" spans="1:15">
      <c r="A292" t="s">
        <v>503</v>
      </c>
      <c r="B292" s="2">
        <v>45989</v>
      </c>
      <c r="C292" t="s">
        <v>47</v>
      </c>
      <c r="D292" t="s">
        <v>146</v>
      </c>
      <c r="E292" t="s">
        <v>25</v>
      </c>
      <c r="F292" t="s">
        <v>77</v>
      </c>
      <c r="G292" s="10">
        <v>3</v>
      </c>
      <c r="H292">
        <v>7002.82</v>
      </c>
      <c r="I292" s="6">
        <v>0.05</v>
      </c>
      <c r="J292" s="8">
        <v>1454.21</v>
      </c>
      <c r="K292" s="4" t="s">
        <v>27</v>
      </c>
      <c r="L292" t="s">
        <v>21</v>
      </c>
      <c r="M292">
        <f t="shared" si="12"/>
        <v>350.14100000000002</v>
      </c>
      <c r="N292" s="6">
        <f t="shared" si="13"/>
        <v>0.20766062814694652</v>
      </c>
      <c r="O292" s="6" t="str">
        <f t="shared" si="14"/>
        <v>Nov</v>
      </c>
    </row>
    <row r="293" spans="1:15">
      <c r="A293" t="s">
        <v>504</v>
      </c>
      <c r="B293" s="2">
        <v>45942</v>
      </c>
      <c r="C293" t="s">
        <v>178</v>
      </c>
      <c r="D293" t="s">
        <v>217</v>
      </c>
      <c r="E293" t="s">
        <v>18</v>
      </c>
      <c r="F293" t="s">
        <v>35</v>
      </c>
      <c r="G293" s="10">
        <v>3</v>
      </c>
      <c r="H293">
        <v>4647.47</v>
      </c>
      <c r="I293" s="6">
        <v>0</v>
      </c>
      <c r="J293" s="8">
        <v>1256.54</v>
      </c>
      <c r="K293" s="4" t="s">
        <v>27</v>
      </c>
      <c r="L293" t="s">
        <v>21</v>
      </c>
      <c r="M293">
        <f t="shared" si="12"/>
        <v>0</v>
      </c>
      <c r="N293" s="6">
        <f t="shared" si="13"/>
        <v>0.2703707608655892</v>
      </c>
      <c r="O293" s="6" t="str">
        <f t="shared" si="14"/>
        <v>Oct</v>
      </c>
    </row>
    <row r="294" spans="1:15">
      <c r="A294" t="s">
        <v>505</v>
      </c>
      <c r="B294" s="2">
        <v>46009</v>
      </c>
      <c r="C294" t="s">
        <v>294</v>
      </c>
      <c r="D294" t="s">
        <v>39</v>
      </c>
      <c r="E294" t="s">
        <v>40</v>
      </c>
      <c r="F294" t="s">
        <v>26</v>
      </c>
      <c r="G294" s="10">
        <v>4</v>
      </c>
      <c r="H294">
        <v>3226.06</v>
      </c>
      <c r="I294" s="6">
        <v>0</v>
      </c>
      <c r="J294" s="8">
        <v>482.48</v>
      </c>
      <c r="K294" s="4" t="s">
        <v>27</v>
      </c>
      <c r="L294" t="s">
        <v>21</v>
      </c>
      <c r="M294">
        <f t="shared" si="12"/>
        <v>0</v>
      </c>
      <c r="N294" s="6">
        <f t="shared" si="13"/>
        <v>0.14955704481627746</v>
      </c>
      <c r="O294" s="6" t="str">
        <f t="shared" si="14"/>
        <v>Dec</v>
      </c>
    </row>
    <row r="295" spans="1:15">
      <c r="A295" t="s">
        <v>506</v>
      </c>
      <c r="B295" s="2">
        <v>45731</v>
      </c>
      <c r="C295" t="s">
        <v>196</v>
      </c>
      <c r="D295" t="s">
        <v>30</v>
      </c>
      <c r="E295" t="s">
        <v>18</v>
      </c>
      <c r="F295" t="s">
        <v>19</v>
      </c>
      <c r="G295" s="10">
        <v>4</v>
      </c>
      <c r="H295">
        <v>5292.82</v>
      </c>
      <c r="I295" s="6">
        <v>0.15</v>
      </c>
      <c r="J295" s="8">
        <v>555.4</v>
      </c>
      <c r="K295" s="4" t="s">
        <v>27</v>
      </c>
      <c r="L295" t="s">
        <v>36</v>
      </c>
      <c r="M295">
        <f t="shared" si="12"/>
        <v>793.92299999999989</v>
      </c>
      <c r="N295" s="6">
        <f t="shared" si="13"/>
        <v>0.10493460952762422</v>
      </c>
      <c r="O295" s="6" t="str">
        <f t="shared" si="14"/>
        <v>Mar</v>
      </c>
    </row>
    <row r="296" spans="1:15">
      <c r="A296" t="s">
        <v>507</v>
      </c>
      <c r="B296" s="2">
        <v>45758</v>
      </c>
      <c r="C296" t="s">
        <v>120</v>
      </c>
      <c r="D296" t="s">
        <v>75</v>
      </c>
      <c r="E296" t="s">
        <v>76</v>
      </c>
      <c r="F296" t="s">
        <v>26</v>
      </c>
      <c r="G296" s="10">
        <v>3</v>
      </c>
      <c r="H296">
        <v>2492</v>
      </c>
      <c r="I296" s="6">
        <v>0.1</v>
      </c>
      <c r="J296" s="8">
        <v>689.79</v>
      </c>
      <c r="K296" s="4" t="s">
        <v>65</v>
      </c>
      <c r="L296" t="s">
        <v>36</v>
      </c>
      <c r="M296">
        <f t="shared" si="12"/>
        <v>249.20000000000002</v>
      </c>
      <c r="N296" s="6">
        <f t="shared" si="13"/>
        <v>0.27680176565008024</v>
      </c>
      <c r="O296" s="6" t="str">
        <f t="shared" si="14"/>
        <v>Apr</v>
      </c>
    </row>
    <row r="297" spans="1:15">
      <c r="A297" t="s">
        <v>508</v>
      </c>
      <c r="B297" s="2">
        <v>45817</v>
      </c>
      <c r="C297" t="s">
        <v>220</v>
      </c>
      <c r="D297" t="s">
        <v>146</v>
      </c>
      <c r="E297" t="s">
        <v>25</v>
      </c>
      <c r="F297" t="s">
        <v>77</v>
      </c>
      <c r="G297" s="10">
        <v>1</v>
      </c>
      <c r="H297">
        <v>3876.74</v>
      </c>
      <c r="I297" s="6">
        <v>0</v>
      </c>
      <c r="J297" s="8">
        <v>838.03</v>
      </c>
      <c r="K297" s="4" t="s">
        <v>32</v>
      </c>
      <c r="L297" t="s">
        <v>36</v>
      </c>
      <c r="M297">
        <f t="shared" si="12"/>
        <v>0</v>
      </c>
      <c r="N297" s="6">
        <f t="shared" si="13"/>
        <v>0.21616873971429604</v>
      </c>
      <c r="O297" s="6" t="str">
        <f t="shared" si="14"/>
        <v>Jun</v>
      </c>
    </row>
    <row r="298" spans="1:15">
      <c r="A298" t="s">
        <v>509</v>
      </c>
      <c r="B298" s="2">
        <v>45931</v>
      </c>
      <c r="C298" t="s">
        <v>485</v>
      </c>
      <c r="D298" t="s">
        <v>146</v>
      </c>
      <c r="E298" t="s">
        <v>25</v>
      </c>
      <c r="F298" t="s">
        <v>41</v>
      </c>
      <c r="G298" s="10">
        <v>5</v>
      </c>
      <c r="H298">
        <v>6288.75</v>
      </c>
      <c r="I298" s="6">
        <v>0.15</v>
      </c>
      <c r="J298" s="8">
        <v>1192.48</v>
      </c>
      <c r="K298" s="4" t="s">
        <v>27</v>
      </c>
      <c r="L298" t="s">
        <v>21</v>
      </c>
      <c r="M298">
        <f t="shared" si="12"/>
        <v>943.3125</v>
      </c>
      <c r="N298" s="6">
        <f t="shared" si="13"/>
        <v>0.18962114887696283</v>
      </c>
      <c r="O298" s="6" t="str">
        <f t="shared" si="14"/>
        <v>Oct</v>
      </c>
    </row>
    <row r="299" spans="1:15">
      <c r="A299" t="s">
        <v>510</v>
      </c>
      <c r="B299" s="2">
        <v>45773</v>
      </c>
      <c r="C299" t="s">
        <v>228</v>
      </c>
      <c r="D299" t="s">
        <v>124</v>
      </c>
      <c r="E299" t="s">
        <v>76</v>
      </c>
      <c r="F299" t="s">
        <v>41</v>
      </c>
      <c r="G299" s="10">
        <v>2</v>
      </c>
      <c r="H299">
        <v>25354.67</v>
      </c>
      <c r="I299" s="6">
        <v>0</v>
      </c>
      <c r="J299" s="8">
        <v>2209</v>
      </c>
      <c r="K299" s="4" t="s">
        <v>27</v>
      </c>
      <c r="L299" t="s">
        <v>21</v>
      </c>
      <c r="M299">
        <f t="shared" si="12"/>
        <v>0</v>
      </c>
      <c r="N299" s="6">
        <f t="shared" si="13"/>
        <v>8.7123989387359421E-2</v>
      </c>
      <c r="O299" s="6" t="str">
        <f t="shared" si="14"/>
        <v>Apr</v>
      </c>
    </row>
    <row r="300" spans="1:15">
      <c r="A300" t="s">
        <v>511</v>
      </c>
      <c r="B300" s="2">
        <v>45854</v>
      </c>
      <c r="C300" t="s">
        <v>276</v>
      </c>
      <c r="D300" t="s">
        <v>114</v>
      </c>
      <c r="E300" t="s">
        <v>69</v>
      </c>
      <c r="F300" t="s">
        <v>70</v>
      </c>
      <c r="G300" s="10">
        <v>3</v>
      </c>
      <c r="H300">
        <v>88717.06</v>
      </c>
      <c r="I300" s="6">
        <v>0.2</v>
      </c>
      <c r="J300" s="8">
        <v>14489.5</v>
      </c>
      <c r="K300" s="4" t="s">
        <v>20</v>
      </c>
      <c r="L300" t="s">
        <v>21</v>
      </c>
      <c r="M300">
        <f t="shared" si="12"/>
        <v>17743.412</v>
      </c>
      <c r="N300" s="6">
        <f t="shared" si="13"/>
        <v>0.16332258981530723</v>
      </c>
      <c r="O300" s="6" t="str">
        <f t="shared" si="14"/>
        <v>Jul</v>
      </c>
    </row>
    <row r="301" spans="1:15">
      <c r="A301" t="s">
        <v>512</v>
      </c>
      <c r="B301" s="2">
        <v>45789</v>
      </c>
      <c r="C301" t="s">
        <v>356</v>
      </c>
      <c r="D301" t="s">
        <v>124</v>
      </c>
      <c r="E301" t="s">
        <v>76</v>
      </c>
      <c r="F301" t="s">
        <v>41</v>
      </c>
      <c r="G301" s="10">
        <v>2</v>
      </c>
      <c r="H301">
        <v>25438.85</v>
      </c>
      <c r="I301" s="6">
        <v>0.05</v>
      </c>
      <c r="J301" s="8">
        <v>2579.1</v>
      </c>
      <c r="K301" s="4" t="s">
        <v>32</v>
      </c>
      <c r="L301" t="s">
        <v>21</v>
      </c>
      <c r="M301">
        <f t="shared" si="12"/>
        <v>1271.9425000000001</v>
      </c>
      <c r="N301" s="6">
        <f t="shared" si="13"/>
        <v>0.10138429999783795</v>
      </c>
      <c r="O301" s="6" t="str">
        <f t="shared" si="14"/>
        <v>May</v>
      </c>
    </row>
    <row r="302" spans="1:15">
      <c r="A302" t="s">
        <v>513</v>
      </c>
      <c r="B302" s="2">
        <v>45928</v>
      </c>
      <c r="C302" t="s">
        <v>276</v>
      </c>
      <c r="D302" t="s">
        <v>30</v>
      </c>
      <c r="E302" t="s">
        <v>18</v>
      </c>
      <c r="F302" t="s">
        <v>31</v>
      </c>
      <c r="G302" s="10">
        <v>3</v>
      </c>
      <c r="H302">
        <v>5741</v>
      </c>
      <c r="I302" s="6">
        <v>0.1</v>
      </c>
      <c r="J302" s="8">
        <v>389.48</v>
      </c>
      <c r="K302" s="4" t="s">
        <v>20</v>
      </c>
      <c r="L302" t="s">
        <v>21</v>
      </c>
      <c r="M302">
        <f t="shared" si="12"/>
        <v>574.1</v>
      </c>
      <c r="N302" s="6">
        <f t="shared" si="13"/>
        <v>6.7841839400801254E-2</v>
      </c>
      <c r="O302" s="6" t="str">
        <f t="shared" si="14"/>
        <v>Sep</v>
      </c>
    </row>
    <row r="303" spans="1:15">
      <c r="A303" t="s">
        <v>514</v>
      </c>
      <c r="B303" s="2">
        <v>45980</v>
      </c>
      <c r="C303" t="s">
        <v>424</v>
      </c>
      <c r="D303" t="s">
        <v>39</v>
      </c>
      <c r="E303" t="s">
        <v>40</v>
      </c>
      <c r="F303" t="s">
        <v>107</v>
      </c>
      <c r="G303" s="10">
        <v>2</v>
      </c>
      <c r="H303">
        <v>3553.18</v>
      </c>
      <c r="I303" s="6">
        <v>0.2</v>
      </c>
      <c r="J303" s="8">
        <v>444.63</v>
      </c>
      <c r="K303" s="4" t="s">
        <v>20</v>
      </c>
      <c r="L303" t="s">
        <v>21</v>
      </c>
      <c r="M303">
        <f t="shared" si="12"/>
        <v>710.63599999999997</v>
      </c>
      <c r="N303" s="6">
        <f t="shared" si="13"/>
        <v>0.12513579385226756</v>
      </c>
      <c r="O303" s="6" t="str">
        <f t="shared" si="14"/>
        <v>Nov</v>
      </c>
    </row>
    <row r="304" spans="1:15">
      <c r="A304" t="s">
        <v>515</v>
      </c>
      <c r="B304" s="2">
        <v>45711</v>
      </c>
      <c r="C304" t="s">
        <v>102</v>
      </c>
      <c r="D304" t="s">
        <v>114</v>
      </c>
      <c r="E304" t="s">
        <v>69</v>
      </c>
      <c r="F304" t="s">
        <v>19</v>
      </c>
      <c r="G304" s="10">
        <v>5</v>
      </c>
      <c r="H304">
        <v>177093.13</v>
      </c>
      <c r="I304" s="6">
        <v>0.25</v>
      </c>
      <c r="J304" s="8">
        <v>11461.58</v>
      </c>
      <c r="K304" s="4" t="s">
        <v>32</v>
      </c>
      <c r="L304" t="s">
        <v>36</v>
      </c>
      <c r="M304">
        <f t="shared" si="12"/>
        <v>44273.282500000001</v>
      </c>
      <c r="N304" s="6">
        <f t="shared" si="13"/>
        <v>6.4720635972722373E-2</v>
      </c>
      <c r="O304" s="6" t="str">
        <f t="shared" si="14"/>
        <v>Feb</v>
      </c>
    </row>
    <row r="305" spans="1:15">
      <c r="A305" t="s">
        <v>516</v>
      </c>
      <c r="B305" s="2">
        <v>45695</v>
      </c>
      <c r="C305" t="s">
        <v>194</v>
      </c>
      <c r="D305" t="s">
        <v>217</v>
      </c>
      <c r="E305" t="s">
        <v>18</v>
      </c>
      <c r="F305" t="s">
        <v>35</v>
      </c>
      <c r="G305" s="10">
        <v>3</v>
      </c>
      <c r="H305">
        <v>8158.74</v>
      </c>
      <c r="I305" s="6">
        <v>0</v>
      </c>
      <c r="J305" s="8">
        <v>2037.63</v>
      </c>
      <c r="K305" s="4" t="s">
        <v>20</v>
      </c>
      <c r="L305" t="s">
        <v>21</v>
      </c>
      <c r="M305">
        <f t="shared" si="12"/>
        <v>0</v>
      </c>
      <c r="N305" s="6">
        <f t="shared" si="13"/>
        <v>0.24974812287191406</v>
      </c>
      <c r="O305" s="6" t="str">
        <f t="shared" si="14"/>
        <v>Feb</v>
      </c>
    </row>
    <row r="306" spans="1:15">
      <c r="A306" t="s">
        <v>517</v>
      </c>
      <c r="B306" s="2">
        <v>45704</v>
      </c>
      <c r="C306" t="s">
        <v>86</v>
      </c>
      <c r="D306" t="s">
        <v>53</v>
      </c>
      <c r="E306" t="s">
        <v>25</v>
      </c>
      <c r="F306" t="s">
        <v>41</v>
      </c>
      <c r="G306" s="10">
        <v>4</v>
      </c>
      <c r="H306">
        <v>14786.5</v>
      </c>
      <c r="I306" s="6">
        <v>0.25</v>
      </c>
      <c r="J306" s="8">
        <v>2112.66</v>
      </c>
      <c r="K306" s="4" t="s">
        <v>32</v>
      </c>
      <c r="L306" t="s">
        <v>21</v>
      </c>
      <c r="M306">
        <f t="shared" si="12"/>
        <v>3696.625</v>
      </c>
      <c r="N306" s="6">
        <f t="shared" si="13"/>
        <v>0.14287762486051464</v>
      </c>
      <c r="O306" s="6" t="str">
        <f t="shared" si="14"/>
        <v>Feb</v>
      </c>
    </row>
    <row r="307" spans="1:15">
      <c r="A307" t="s">
        <v>518</v>
      </c>
      <c r="B307" s="2">
        <v>45819</v>
      </c>
      <c r="C307" t="s">
        <v>373</v>
      </c>
      <c r="D307" t="s">
        <v>95</v>
      </c>
      <c r="E307" t="s">
        <v>76</v>
      </c>
      <c r="F307" t="s">
        <v>19</v>
      </c>
      <c r="G307" s="10">
        <v>1</v>
      </c>
      <c r="H307">
        <v>4178.3599999999997</v>
      </c>
      <c r="I307" s="6">
        <v>0.05</v>
      </c>
      <c r="J307" s="8">
        <v>716.77</v>
      </c>
      <c r="K307" s="4" t="s">
        <v>42</v>
      </c>
      <c r="L307" t="s">
        <v>21</v>
      </c>
      <c r="M307">
        <f t="shared" si="12"/>
        <v>208.91800000000001</v>
      </c>
      <c r="N307" s="6">
        <f t="shared" si="13"/>
        <v>0.17154338065652552</v>
      </c>
      <c r="O307" s="6" t="str">
        <f t="shared" si="14"/>
        <v>Jun</v>
      </c>
    </row>
    <row r="308" spans="1:15">
      <c r="A308" t="s">
        <v>519</v>
      </c>
      <c r="B308" s="2">
        <v>45759</v>
      </c>
      <c r="C308" t="s">
        <v>464</v>
      </c>
      <c r="D308" t="s">
        <v>24</v>
      </c>
      <c r="E308" t="s">
        <v>25</v>
      </c>
      <c r="F308" t="s">
        <v>31</v>
      </c>
      <c r="G308" s="10">
        <v>1</v>
      </c>
      <c r="H308">
        <v>2715.12</v>
      </c>
      <c r="I308" s="6">
        <v>0</v>
      </c>
      <c r="J308" s="8">
        <v>214.39</v>
      </c>
      <c r="K308" s="4" t="s">
        <v>27</v>
      </c>
      <c r="L308" t="s">
        <v>21</v>
      </c>
      <c r="M308">
        <f t="shared" si="12"/>
        <v>0</v>
      </c>
      <c r="N308" s="6">
        <f t="shared" si="13"/>
        <v>7.8961519196204949E-2</v>
      </c>
      <c r="O308" s="6" t="str">
        <f t="shared" si="14"/>
        <v>Apr</v>
      </c>
    </row>
    <row r="309" spans="1:15">
      <c r="A309" t="s">
        <v>520</v>
      </c>
      <c r="B309" s="2">
        <v>45824</v>
      </c>
      <c r="C309" t="s">
        <v>521</v>
      </c>
      <c r="D309" t="s">
        <v>58</v>
      </c>
      <c r="E309" t="s">
        <v>25</v>
      </c>
      <c r="F309" t="s">
        <v>41</v>
      </c>
      <c r="G309" s="10">
        <v>5</v>
      </c>
      <c r="H309">
        <v>21749.74</v>
      </c>
      <c r="I309" s="6">
        <v>0</v>
      </c>
      <c r="J309" s="8">
        <v>1842.48</v>
      </c>
      <c r="K309" s="4" t="s">
        <v>20</v>
      </c>
      <c r="L309" t="s">
        <v>36</v>
      </c>
      <c r="M309">
        <f t="shared" si="12"/>
        <v>0</v>
      </c>
      <c r="N309" s="6">
        <f t="shared" si="13"/>
        <v>8.4712736795934107E-2</v>
      </c>
      <c r="O309" s="6" t="str">
        <f t="shared" si="14"/>
        <v>Jun</v>
      </c>
    </row>
    <row r="310" spans="1:15">
      <c r="A310" t="s">
        <v>522</v>
      </c>
      <c r="B310" s="2">
        <v>45994</v>
      </c>
      <c r="C310" t="s">
        <v>523</v>
      </c>
      <c r="D310" t="s">
        <v>217</v>
      </c>
      <c r="E310" t="s">
        <v>18</v>
      </c>
      <c r="F310" t="s">
        <v>70</v>
      </c>
      <c r="G310" s="10">
        <v>1</v>
      </c>
      <c r="H310">
        <v>2370.25</v>
      </c>
      <c r="I310" s="6">
        <v>0.2</v>
      </c>
      <c r="J310" s="8">
        <v>636.42999999999995</v>
      </c>
      <c r="K310" s="4" t="s">
        <v>27</v>
      </c>
      <c r="L310" t="s">
        <v>36</v>
      </c>
      <c r="M310">
        <f t="shared" si="12"/>
        <v>474.05</v>
      </c>
      <c r="N310" s="6">
        <f t="shared" si="13"/>
        <v>0.26850754139858662</v>
      </c>
      <c r="O310" s="6" t="str">
        <f t="shared" si="14"/>
        <v>Dec</v>
      </c>
    </row>
    <row r="311" spans="1:15">
      <c r="A311" t="s">
        <v>524</v>
      </c>
      <c r="B311" s="2">
        <v>45996</v>
      </c>
      <c r="C311" t="s">
        <v>74</v>
      </c>
      <c r="D311" t="s">
        <v>45</v>
      </c>
      <c r="E311" t="s">
        <v>18</v>
      </c>
      <c r="F311" t="s">
        <v>107</v>
      </c>
      <c r="G311" s="10">
        <v>3</v>
      </c>
      <c r="H311">
        <v>7623.43</v>
      </c>
      <c r="I311" s="6">
        <v>0.25</v>
      </c>
      <c r="J311" s="8">
        <v>1494.22</v>
      </c>
      <c r="K311" s="4" t="s">
        <v>42</v>
      </c>
      <c r="L311" t="s">
        <v>21</v>
      </c>
      <c r="M311">
        <f t="shared" si="12"/>
        <v>1905.8575000000001</v>
      </c>
      <c r="N311" s="6">
        <f t="shared" si="13"/>
        <v>0.19600363615852706</v>
      </c>
      <c r="O311" s="6" t="str">
        <f t="shared" si="14"/>
        <v>Dec</v>
      </c>
    </row>
    <row r="312" spans="1:15">
      <c r="A312" t="s">
        <v>525</v>
      </c>
      <c r="B312" s="2">
        <v>45825</v>
      </c>
      <c r="C312" t="s">
        <v>44</v>
      </c>
      <c r="D312" t="s">
        <v>56</v>
      </c>
      <c r="E312" t="s">
        <v>40</v>
      </c>
      <c r="F312" t="s">
        <v>107</v>
      </c>
      <c r="G312" s="10">
        <v>3</v>
      </c>
      <c r="H312">
        <v>2919.82</v>
      </c>
      <c r="I312" s="6">
        <v>0.2</v>
      </c>
      <c r="J312" s="8">
        <v>594.34</v>
      </c>
      <c r="K312" s="4" t="s">
        <v>32</v>
      </c>
      <c r="L312" t="s">
        <v>21</v>
      </c>
      <c r="M312">
        <f t="shared" si="12"/>
        <v>583.96400000000006</v>
      </c>
      <c r="N312" s="6">
        <f t="shared" si="13"/>
        <v>0.20355364371776341</v>
      </c>
      <c r="O312" s="6" t="str">
        <f t="shared" si="14"/>
        <v>Jun</v>
      </c>
    </row>
    <row r="313" spans="1:15">
      <c r="A313" t="s">
        <v>526</v>
      </c>
      <c r="B313" s="2">
        <v>45805</v>
      </c>
      <c r="C313" t="s">
        <v>244</v>
      </c>
      <c r="D313" t="s">
        <v>53</v>
      </c>
      <c r="E313" t="s">
        <v>25</v>
      </c>
      <c r="F313" t="s">
        <v>107</v>
      </c>
      <c r="G313" s="10">
        <v>4</v>
      </c>
      <c r="H313">
        <v>12303.02</v>
      </c>
      <c r="I313" s="6">
        <v>0.05</v>
      </c>
      <c r="J313" s="8">
        <v>3011.82</v>
      </c>
      <c r="K313" s="4" t="s">
        <v>32</v>
      </c>
      <c r="L313" t="s">
        <v>21</v>
      </c>
      <c r="M313">
        <f t="shared" si="12"/>
        <v>615.15100000000007</v>
      </c>
      <c r="N313" s="6">
        <f t="shared" si="13"/>
        <v>0.24480330845597259</v>
      </c>
      <c r="O313" s="6" t="str">
        <f t="shared" si="14"/>
        <v>May</v>
      </c>
    </row>
    <row r="314" spans="1:15">
      <c r="A314" t="s">
        <v>527</v>
      </c>
      <c r="B314" s="2">
        <v>45781</v>
      </c>
      <c r="C314" t="s">
        <v>288</v>
      </c>
      <c r="D314" t="s">
        <v>53</v>
      </c>
      <c r="E314" t="s">
        <v>25</v>
      </c>
      <c r="F314" t="s">
        <v>26</v>
      </c>
      <c r="G314" s="10">
        <v>1</v>
      </c>
      <c r="H314">
        <v>2159.73</v>
      </c>
      <c r="I314" s="6">
        <v>0.25</v>
      </c>
      <c r="J314" s="8">
        <v>341.87</v>
      </c>
      <c r="K314" s="4" t="s">
        <v>65</v>
      </c>
      <c r="L314" t="s">
        <v>21</v>
      </c>
      <c r="M314">
        <f t="shared" si="12"/>
        <v>539.9325</v>
      </c>
      <c r="N314" s="6">
        <f t="shared" si="13"/>
        <v>0.15829293476499379</v>
      </c>
      <c r="O314" s="6" t="str">
        <f t="shared" si="14"/>
        <v>May</v>
      </c>
    </row>
    <row r="315" spans="1:15">
      <c r="A315" t="s">
        <v>528</v>
      </c>
      <c r="B315" s="2">
        <v>45991</v>
      </c>
      <c r="C315" t="s">
        <v>452</v>
      </c>
      <c r="D315" t="s">
        <v>50</v>
      </c>
      <c r="E315" t="s">
        <v>40</v>
      </c>
      <c r="F315" t="s">
        <v>41</v>
      </c>
      <c r="G315" s="10">
        <v>5</v>
      </c>
      <c r="H315">
        <v>1817.08</v>
      </c>
      <c r="I315" s="6">
        <v>0.1</v>
      </c>
      <c r="J315" s="8">
        <v>281.52</v>
      </c>
      <c r="K315" s="4" t="s">
        <v>32</v>
      </c>
      <c r="L315" t="s">
        <v>21</v>
      </c>
      <c r="M315">
        <f t="shared" si="12"/>
        <v>181.708</v>
      </c>
      <c r="N315" s="6">
        <f t="shared" si="13"/>
        <v>0.15492988751183218</v>
      </c>
      <c r="O315" s="6" t="str">
        <f t="shared" si="14"/>
        <v>Nov</v>
      </c>
    </row>
    <row r="316" spans="1:15">
      <c r="A316" t="s">
        <v>529</v>
      </c>
      <c r="B316" s="2">
        <v>45824</v>
      </c>
      <c r="C316" t="s">
        <v>150</v>
      </c>
      <c r="D316" t="s">
        <v>146</v>
      </c>
      <c r="E316" t="s">
        <v>25</v>
      </c>
      <c r="F316" t="s">
        <v>77</v>
      </c>
      <c r="G316" s="10">
        <v>4</v>
      </c>
      <c r="H316">
        <v>16713.150000000001</v>
      </c>
      <c r="I316" s="6">
        <v>0.15</v>
      </c>
      <c r="J316" s="8">
        <v>3383.31</v>
      </c>
      <c r="K316" s="4" t="s">
        <v>32</v>
      </c>
      <c r="L316" t="s">
        <v>21</v>
      </c>
      <c r="M316">
        <f t="shared" si="12"/>
        <v>2506.9725000000003</v>
      </c>
      <c r="N316" s="6">
        <f t="shared" si="13"/>
        <v>0.20243401154180987</v>
      </c>
      <c r="O316" s="6" t="str">
        <f t="shared" si="14"/>
        <v>Jun</v>
      </c>
    </row>
    <row r="317" spans="1:15">
      <c r="A317" t="s">
        <v>530</v>
      </c>
      <c r="B317" s="2">
        <v>45937</v>
      </c>
      <c r="C317" t="s">
        <v>214</v>
      </c>
      <c r="D317" t="s">
        <v>64</v>
      </c>
      <c r="E317" t="s">
        <v>40</v>
      </c>
      <c r="F317" t="s">
        <v>107</v>
      </c>
      <c r="G317" s="10">
        <v>2</v>
      </c>
      <c r="H317">
        <v>4735.7299999999996</v>
      </c>
      <c r="I317" s="6">
        <v>0</v>
      </c>
      <c r="J317" s="8">
        <v>1387.48</v>
      </c>
      <c r="K317" s="4" t="s">
        <v>27</v>
      </c>
      <c r="L317" t="s">
        <v>36</v>
      </c>
      <c r="M317">
        <f t="shared" si="12"/>
        <v>0</v>
      </c>
      <c r="N317" s="6">
        <f t="shared" si="13"/>
        <v>0.29298122992653725</v>
      </c>
      <c r="O317" s="6" t="str">
        <f t="shared" si="14"/>
        <v>Oct</v>
      </c>
    </row>
    <row r="318" spans="1:15">
      <c r="A318" t="s">
        <v>531</v>
      </c>
      <c r="B318" s="2">
        <v>45975</v>
      </c>
      <c r="C318" t="s">
        <v>452</v>
      </c>
      <c r="D318" t="s">
        <v>124</v>
      </c>
      <c r="E318" t="s">
        <v>76</v>
      </c>
      <c r="F318" t="s">
        <v>41</v>
      </c>
      <c r="G318" s="10">
        <v>1</v>
      </c>
      <c r="H318">
        <v>10639.37</v>
      </c>
      <c r="I318" s="6">
        <v>0.05</v>
      </c>
      <c r="J318" s="8">
        <v>2126.84</v>
      </c>
      <c r="K318" s="4" t="s">
        <v>42</v>
      </c>
      <c r="L318" t="s">
        <v>36</v>
      </c>
      <c r="M318">
        <f t="shared" si="12"/>
        <v>531.96850000000006</v>
      </c>
      <c r="N318" s="6">
        <f t="shared" si="13"/>
        <v>0.19990281379442579</v>
      </c>
      <c r="O318" s="6" t="str">
        <f t="shared" si="14"/>
        <v>Nov</v>
      </c>
    </row>
    <row r="319" spans="1:15">
      <c r="A319" t="s">
        <v>532</v>
      </c>
      <c r="B319" s="2">
        <v>46002</v>
      </c>
      <c r="C319" t="s">
        <v>81</v>
      </c>
      <c r="D319" t="s">
        <v>146</v>
      </c>
      <c r="E319" t="s">
        <v>25</v>
      </c>
      <c r="F319" t="s">
        <v>35</v>
      </c>
      <c r="G319" s="10">
        <v>3</v>
      </c>
      <c r="H319">
        <v>3983.38</v>
      </c>
      <c r="I319" s="6">
        <v>0.15</v>
      </c>
      <c r="J319" s="8">
        <v>690.41</v>
      </c>
      <c r="K319" s="4" t="s">
        <v>32</v>
      </c>
      <c r="L319" t="s">
        <v>21</v>
      </c>
      <c r="M319">
        <f t="shared" si="12"/>
        <v>597.50699999999995</v>
      </c>
      <c r="N319" s="6">
        <f t="shared" si="13"/>
        <v>0.17332265563415991</v>
      </c>
      <c r="O319" s="6" t="str">
        <f t="shared" si="14"/>
        <v>Dec</v>
      </c>
    </row>
    <row r="320" spans="1:15">
      <c r="A320" t="s">
        <v>533</v>
      </c>
      <c r="B320" s="2">
        <v>45698</v>
      </c>
      <c r="C320" t="s">
        <v>534</v>
      </c>
      <c r="D320" t="s">
        <v>24</v>
      </c>
      <c r="E320" t="s">
        <v>25</v>
      </c>
      <c r="F320" t="s">
        <v>107</v>
      </c>
      <c r="G320" s="10">
        <v>4</v>
      </c>
      <c r="H320">
        <v>10592.73</v>
      </c>
      <c r="I320" s="6">
        <v>0.15</v>
      </c>
      <c r="J320" s="8">
        <v>827.57</v>
      </c>
      <c r="K320" s="4" t="s">
        <v>27</v>
      </c>
      <c r="L320" t="s">
        <v>21</v>
      </c>
      <c r="M320">
        <f t="shared" si="12"/>
        <v>1588.9095</v>
      </c>
      <c r="N320" s="6">
        <f t="shared" si="13"/>
        <v>7.8126224306670711E-2</v>
      </c>
      <c r="O320" s="6" t="str">
        <f t="shared" si="14"/>
        <v>Feb</v>
      </c>
    </row>
    <row r="321" spans="1:15">
      <c r="A321" t="s">
        <v>535</v>
      </c>
      <c r="B321" s="2">
        <v>46009</v>
      </c>
      <c r="C321" t="s">
        <v>321</v>
      </c>
      <c r="D321" t="s">
        <v>146</v>
      </c>
      <c r="E321" t="s">
        <v>25</v>
      </c>
      <c r="F321" t="s">
        <v>41</v>
      </c>
      <c r="G321" s="10">
        <v>1</v>
      </c>
      <c r="H321">
        <v>2493.9499999999998</v>
      </c>
      <c r="I321" s="6">
        <v>0.1</v>
      </c>
      <c r="J321" s="8">
        <v>441.04</v>
      </c>
      <c r="K321" s="4" t="s">
        <v>32</v>
      </c>
      <c r="L321" t="s">
        <v>36</v>
      </c>
      <c r="M321">
        <f t="shared" si="12"/>
        <v>249.39499999999998</v>
      </c>
      <c r="N321" s="6">
        <f t="shared" si="13"/>
        <v>0.17684396238898137</v>
      </c>
      <c r="O321" s="6" t="str">
        <f t="shared" si="14"/>
        <v>Dec</v>
      </c>
    </row>
    <row r="322" spans="1:15">
      <c r="A322" t="s">
        <v>536</v>
      </c>
      <c r="B322" s="2">
        <v>45972</v>
      </c>
      <c r="C322" t="s">
        <v>537</v>
      </c>
      <c r="D322" t="s">
        <v>124</v>
      </c>
      <c r="E322" t="s">
        <v>76</v>
      </c>
      <c r="F322" t="s">
        <v>77</v>
      </c>
      <c r="G322" s="10">
        <v>3</v>
      </c>
      <c r="H322">
        <v>35919.21</v>
      </c>
      <c r="I322" s="6">
        <v>0.1</v>
      </c>
      <c r="J322" s="8">
        <v>8078.16</v>
      </c>
      <c r="K322" s="4" t="s">
        <v>65</v>
      </c>
      <c r="L322" t="s">
        <v>36</v>
      </c>
      <c r="M322">
        <f t="shared" si="12"/>
        <v>3591.9210000000003</v>
      </c>
      <c r="N322" s="6">
        <f t="shared" si="13"/>
        <v>0.22489804202263913</v>
      </c>
      <c r="O322" s="6" t="str">
        <f t="shared" si="14"/>
        <v>Nov</v>
      </c>
    </row>
    <row r="323" spans="1:15">
      <c r="A323" t="s">
        <v>538</v>
      </c>
      <c r="B323" s="2">
        <v>45725</v>
      </c>
      <c r="C323" t="s">
        <v>397</v>
      </c>
      <c r="D323" t="s">
        <v>68</v>
      </c>
      <c r="E323" t="s">
        <v>69</v>
      </c>
      <c r="F323" t="s">
        <v>107</v>
      </c>
      <c r="G323" s="10">
        <v>1</v>
      </c>
      <c r="H323">
        <v>32036.19</v>
      </c>
      <c r="I323" s="6">
        <v>0.1</v>
      </c>
      <c r="J323" s="8">
        <v>8800.5499999999993</v>
      </c>
      <c r="K323" s="4" t="s">
        <v>27</v>
      </c>
      <c r="L323" t="s">
        <v>21</v>
      </c>
      <c r="M323">
        <f t="shared" ref="M323:M386" si="15">H323*I323</f>
        <v>3203.6190000000001</v>
      </c>
      <c r="N323" s="6">
        <f t="shared" ref="N323:N386" si="16">IFERROR(J323/H323,0)</f>
        <v>0.27470651160453224</v>
      </c>
      <c r="O323" s="6" t="str">
        <f t="shared" ref="O323:O386" si="17">TEXT(B323,"mmm")</f>
        <v>Mar</v>
      </c>
    </row>
    <row r="324" spans="1:15">
      <c r="A324" t="s">
        <v>539</v>
      </c>
      <c r="B324" s="2">
        <v>45940</v>
      </c>
      <c r="C324" t="s">
        <v>116</v>
      </c>
      <c r="D324" t="s">
        <v>191</v>
      </c>
      <c r="E324" t="s">
        <v>69</v>
      </c>
      <c r="F324" t="s">
        <v>31</v>
      </c>
      <c r="G324" s="10">
        <v>2</v>
      </c>
      <c r="H324">
        <v>12143.8</v>
      </c>
      <c r="I324" s="6">
        <v>0.1</v>
      </c>
      <c r="J324" s="8">
        <v>804.63</v>
      </c>
      <c r="K324" s="4" t="s">
        <v>42</v>
      </c>
      <c r="L324" t="s">
        <v>21</v>
      </c>
      <c r="M324">
        <f t="shared" si="15"/>
        <v>1214.3799999999999</v>
      </c>
      <c r="N324" s="6">
        <f t="shared" si="16"/>
        <v>6.625850228099936E-2</v>
      </c>
      <c r="O324" s="6" t="str">
        <f t="shared" si="17"/>
        <v>Oct</v>
      </c>
    </row>
    <row r="325" spans="1:15">
      <c r="A325" t="s">
        <v>540</v>
      </c>
      <c r="B325" s="2">
        <v>45905</v>
      </c>
      <c r="C325" t="s">
        <v>176</v>
      </c>
      <c r="D325" t="s">
        <v>72</v>
      </c>
      <c r="E325" t="s">
        <v>69</v>
      </c>
      <c r="F325" t="s">
        <v>107</v>
      </c>
      <c r="G325" s="10">
        <v>4</v>
      </c>
      <c r="H325">
        <v>160693.29999999999</v>
      </c>
      <c r="I325" s="6">
        <v>0</v>
      </c>
      <c r="J325" s="8">
        <v>32060.55</v>
      </c>
      <c r="K325" s="4" t="s">
        <v>65</v>
      </c>
      <c r="L325" t="s">
        <v>21</v>
      </c>
      <c r="M325">
        <f t="shared" si="15"/>
        <v>0</v>
      </c>
      <c r="N325" s="6">
        <f t="shared" si="16"/>
        <v>0.1995139187508129</v>
      </c>
      <c r="O325" s="6" t="str">
        <f t="shared" si="17"/>
        <v>Sep</v>
      </c>
    </row>
    <row r="326" spans="1:15">
      <c r="A326" t="s">
        <v>541</v>
      </c>
      <c r="B326" s="2">
        <v>45726</v>
      </c>
      <c r="C326" t="s">
        <v>161</v>
      </c>
      <c r="D326" t="s">
        <v>30</v>
      </c>
      <c r="E326" t="s">
        <v>18</v>
      </c>
      <c r="F326" t="s">
        <v>35</v>
      </c>
      <c r="G326" s="10">
        <v>3</v>
      </c>
      <c r="H326">
        <v>3079.96</v>
      </c>
      <c r="I326" s="6">
        <v>0.1</v>
      </c>
      <c r="J326" s="8">
        <v>467.1</v>
      </c>
      <c r="K326" s="4" t="s">
        <v>65</v>
      </c>
      <c r="L326" t="s">
        <v>21</v>
      </c>
      <c r="M326">
        <f t="shared" si="15"/>
        <v>307.99600000000004</v>
      </c>
      <c r="N326" s="6">
        <f t="shared" si="16"/>
        <v>0.15165781373784076</v>
      </c>
      <c r="O326" s="6" t="str">
        <f t="shared" si="17"/>
        <v>Mar</v>
      </c>
    </row>
    <row r="327" spans="1:15">
      <c r="A327" t="s">
        <v>542</v>
      </c>
      <c r="B327" s="2">
        <v>45695</v>
      </c>
      <c r="C327" t="s">
        <v>543</v>
      </c>
      <c r="D327" t="s">
        <v>95</v>
      </c>
      <c r="E327" t="s">
        <v>76</v>
      </c>
      <c r="F327" t="s">
        <v>77</v>
      </c>
      <c r="G327" s="10">
        <v>3</v>
      </c>
      <c r="H327">
        <v>18373.830000000002</v>
      </c>
      <c r="I327" s="6">
        <v>0.2</v>
      </c>
      <c r="J327" s="8">
        <v>4358.1099999999997</v>
      </c>
      <c r="K327" s="4" t="s">
        <v>65</v>
      </c>
      <c r="L327" t="s">
        <v>36</v>
      </c>
      <c r="M327">
        <f t="shared" si="15"/>
        <v>3674.7660000000005</v>
      </c>
      <c r="N327" s="6">
        <f t="shared" si="16"/>
        <v>0.23719115720565606</v>
      </c>
      <c r="O327" s="6" t="str">
        <f t="shared" si="17"/>
        <v>Feb</v>
      </c>
    </row>
    <row r="328" spans="1:15">
      <c r="A328" t="s">
        <v>544</v>
      </c>
      <c r="B328" s="2">
        <v>45764</v>
      </c>
      <c r="C328" t="s">
        <v>321</v>
      </c>
      <c r="D328" t="s">
        <v>53</v>
      </c>
      <c r="E328" t="s">
        <v>25</v>
      </c>
      <c r="F328" t="s">
        <v>41</v>
      </c>
      <c r="G328" s="10">
        <v>1</v>
      </c>
      <c r="H328">
        <v>1587.76</v>
      </c>
      <c r="I328" s="6">
        <v>0.15</v>
      </c>
      <c r="J328" s="8">
        <v>198.86</v>
      </c>
      <c r="K328" s="4" t="s">
        <v>27</v>
      </c>
      <c r="L328" t="s">
        <v>21</v>
      </c>
      <c r="M328">
        <f t="shared" si="15"/>
        <v>238.16399999999999</v>
      </c>
      <c r="N328" s="6">
        <f t="shared" si="16"/>
        <v>0.12524562906232681</v>
      </c>
      <c r="O328" s="6" t="str">
        <f t="shared" si="17"/>
        <v>Apr</v>
      </c>
    </row>
    <row r="329" spans="1:15">
      <c r="A329" t="s">
        <v>545</v>
      </c>
      <c r="B329" s="2">
        <v>45715</v>
      </c>
      <c r="C329" t="s">
        <v>434</v>
      </c>
      <c r="D329" t="s">
        <v>39</v>
      </c>
      <c r="E329" t="s">
        <v>40</v>
      </c>
      <c r="F329" t="s">
        <v>26</v>
      </c>
      <c r="G329" s="10">
        <v>3</v>
      </c>
      <c r="H329">
        <v>3792.14</v>
      </c>
      <c r="I329" s="6">
        <v>0.25</v>
      </c>
      <c r="J329" s="8">
        <v>592.98</v>
      </c>
      <c r="K329" s="4" t="s">
        <v>32</v>
      </c>
      <c r="L329" t="s">
        <v>21</v>
      </c>
      <c r="M329">
        <f t="shared" si="15"/>
        <v>948.03499999999997</v>
      </c>
      <c r="N329" s="6">
        <f t="shared" si="16"/>
        <v>0.15637080909460094</v>
      </c>
      <c r="O329" s="6" t="str">
        <f t="shared" si="17"/>
        <v>Feb</v>
      </c>
    </row>
    <row r="330" spans="1:15">
      <c r="A330" t="s">
        <v>546</v>
      </c>
      <c r="B330" s="2">
        <v>45720</v>
      </c>
      <c r="C330" t="s">
        <v>81</v>
      </c>
      <c r="D330" t="s">
        <v>45</v>
      </c>
      <c r="E330" t="s">
        <v>18</v>
      </c>
      <c r="F330" t="s">
        <v>107</v>
      </c>
      <c r="G330" s="10">
        <v>3</v>
      </c>
      <c r="H330">
        <v>5941.47</v>
      </c>
      <c r="I330" s="6">
        <v>0.2</v>
      </c>
      <c r="J330" s="8">
        <v>749.37</v>
      </c>
      <c r="K330" s="4" t="s">
        <v>32</v>
      </c>
      <c r="L330" t="s">
        <v>21</v>
      </c>
      <c r="M330">
        <f t="shared" si="15"/>
        <v>1188.2940000000001</v>
      </c>
      <c r="N330" s="6">
        <f t="shared" si="16"/>
        <v>0.12612535281672718</v>
      </c>
      <c r="O330" s="6" t="str">
        <f t="shared" si="17"/>
        <v>Mar</v>
      </c>
    </row>
    <row r="331" spans="1:15">
      <c r="A331" t="s">
        <v>547</v>
      </c>
      <c r="B331" s="2">
        <v>45968</v>
      </c>
      <c r="C331" t="s">
        <v>220</v>
      </c>
      <c r="D331" t="s">
        <v>217</v>
      </c>
      <c r="E331" t="s">
        <v>18</v>
      </c>
      <c r="F331" t="s">
        <v>107</v>
      </c>
      <c r="G331" s="10">
        <v>3</v>
      </c>
      <c r="H331">
        <v>5006.74</v>
      </c>
      <c r="I331" s="6">
        <v>0.05</v>
      </c>
      <c r="J331" s="8">
        <v>665.75</v>
      </c>
      <c r="K331" s="4" t="s">
        <v>20</v>
      </c>
      <c r="L331" t="s">
        <v>36</v>
      </c>
      <c r="M331">
        <f t="shared" si="15"/>
        <v>250.33699999999999</v>
      </c>
      <c r="N331" s="6">
        <f t="shared" si="16"/>
        <v>0.13297075542169157</v>
      </c>
      <c r="O331" s="6" t="str">
        <f t="shared" si="17"/>
        <v>Nov</v>
      </c>
    </row>
    <row r="332" spans="1:15">
      <c r="A332" t="s">
        <v>548</v>
      </c>
      <c r="B332" s="2">
        <v>45899</v>
      </c>
      <c r="C332" t="s">
        <v>99</v>
      </c>
      <c r="D332" t="s">
        <v>250</v>
      </c>
      <c r="E332" t="s">
        <v>76</v>
      </c>
      <c r="F332" t="s">
        <v>41</v>
      </c>
      <c r="G332" s="10">
        <v>3</v>
      </c>
      <c r="H332">
        <v>31377.3</v>
      </c>
      <c r="I332" s="6">
        <v>0.15</v>
      </c>
      <c r="J332" s="8">
        <v>4578.8999999999996</v>
      </c>
      <c r="K332" s="4" t="s">
        <v>42</v>
      </c>
      <c r="L332" t="s">
        <v>21</v>
      </c>
      <c r="M332">
        <f t="shared" si="15"/>
        <v>4706.5949999999993</v>
      </c>
      <c r="N332" s="6">
        <f t="shared" si="16"/>
        <v>0.1459303381744127</v>
      </c>
      <c r="O332" s="6" t="str">
        <f t="shared" si="17"/>
        <v>Aug</v>
      </c>
    </row>
    <row r="333" spans="1:15">
      <c r="A333" t="s">
        <v>549</v>
      </c>
      <c r="B333" s="2">
        <v>45810</v>
      </c>
      <c r="C333" t="s">
        <v>550</v>
      </c>
      <c r="D333" t="s">
        <v>146</v>
      </c>
      <c r="E333" t="s">
        <v>25</v>
      </c>
      <c r="F333" t="s">
        <v>31</v>
      </c>
      <c r="G333" s="10">
        <v>5</v>
      </c>
      <c r="H333">
        <v>18002</v>
      </c>
      <c r="I333" s="6">
        <v>0.05</v>
      </c>
      <c r="J333" s="8">
        <v>4153.25</v>
      </c>
      <c r="K333" s="4" t="s">
        <v>20</v>
      </c>
      <c r="L333" t="s">
        <v>36</v>
      </c>
      <c r="M333">
        <f t="shared" si="15"/>
        <v>900.1</v>
      </c>
      <c r="N333" s="6">
        <f t="shared" si="16"/>
        <v>0.23071047661370958</v>
      </c>
      <c r="O333" s="6" t="str">
        <f t="shared" si="17"/>
        <v>Jun</v>
      </c>
    </row>
    <row r="334" spans="1:15">
      <c r="A334" t="s">
        <v>551</v>
      </c>
      <c r="B334" s="2">
        <v>45971</v>
      </c>
      <c r="C334" t="s">
        <v>552</v>
      </c>
      <c r="D334" t="s">
        <v>126</v>
      </c>
      <c r="E334" t="s">
        <v>76</v>
      </c>
      <c r="F334" t="s">
        <v>70</v>
      </c>
      <c r="G334" s="10">
        <v>1</v>
      </c>
      <c r="H334">
        <v>4095.86</v>
      </c>
      <c r="I334" s="6">
        <v>0.2</v>
      </c>
      <c r="J334" s="8">
        <v>590.89</v>
      </c>
      <c r="K334" s="4" t="s">
        <v>65</v>
      </c>
      <c r="L334" t="s">
        <v>21</v>
      </c>
      <c r="M334">
        <f t="shared" si="15"/>
        <v>819.17200000000003</v>
      </c>
      <c r="N334" s="6">
        <f t="shared" si="16"/>
        <v>0.14426518484518513</v>
      </c>
      <c r="O334" s="6" t="str">
        <f t="shared" si="17"/>
        <v>Nov</v>
      </c>
    </row>
    <row r="335" spans="1:15">
      <c r="A335" t="s">
        <v>553</v>
      </c>
      <c r="B335" s="2">
        <v>45970</v>
      </c>
      <c r="C335" t="s">
        <v>194</v>
      </c>
      <c r="D335" t="s">
        <v>126</v>
      </c>
      <c r="E335" t="s">
        <v>76</v>
      </c>
      <c r="F335" t="s">
        <v>26</v>
      </c>
      <c r="G335" s="10">
        <v>1</v>
      </c>
      <c r="H335">
        <v>2260.2399999999998</v>
      </c>
      <c r="I335" s="6">
        <v>0.2</v>
      </c>
      <c r="J335" s="8">
        <v>319.97000000000003</v>
      </c>
      <c r="K335" s="4" t="s">
        <v>20</v>
      </c>
      <c r="L335" t="s">
        <v>36</v>
      </c>
      <c r="M335">
        <f t="shared" si="15"/>
        <v>452.048</v>
      </c>
      <c r="N335" s="6">
        <f t="shared" si="16"/>
        <v>0.14156461260751074</v>
      </c>
      <c r="O335" s="6" t="str">
        <f t="shared" si="17"/>
        <v>Nov</v>
      </c>
    </row>
    <row r="336" spans="1:15">
      <c r="A336" t="s">
        <v>554</v>
      </c>
      <c r="B336" s="2">
        <v>45765</v>
      </c>
      <c r="C336" t="s">
        <v>44</v>
      </c>
      <c r="D336" t="s">
        <v>39</v>
      </c>
      <c r="E336" t="s">
        <v>40</v>
      </c>
      <c r="F336" t="s">
        <v>70</v>
      </c>
      <c r="G336" s="10">
        <v>2</v>
      </c>
      <c r="H336">
        <v>1376.66</v>
      </c>
      <c r="I336" s="6">
        <v>0.25</v>
      </c>
      <c r="J336" s="8">
        <v>134.38999999999999</v>
      </c>
      <c r="K336" s="4" t="s">
        <v>27</v>
      </c>
      <c r="L336" t="s">
        <v>21</v>
      </c>
      <c r="M336">
        <f t="shared" si="15"/>
        <v>344.16500000000002</v>
      </c>
      <c r="N336" s="6">
        <f t="shared" si="16"/>
        <v>9.7620327459212855E-2</v>
      </c>
      <c r="O336" s="6" t="str">
        <f t="shared" si="17"/>
        <v>Apr</v>
      </c>
    </row>
    <row r="337" spans="1:15">
      <c r="A337" t="s">
        <v>555</v>
      </c>
      <c r="B337" s="2">
        <v>45819</v>
      </c>
      <c r="C337" t="s">
        <v>178</v>
      </c>
      <c r="D337" t="s">
        <v>95</v>
      </c>
      <c r="E337" t="s">
        <v>76</v>
      </c>
      <c r="F337" t="s">
        <v>77</v>
      </c>
      <c r="G337" s="10">
        <v>1</v>
      </c>
      <c r="H337">
        <v>3215.22</v>
      </c>
      <c r="I337" s="6">
        <v>0.1</v>
      </c>
      <c r="J337" s="8">
        <v>423.34</v>
      </c>
      <c r="K337" s="4" t="s">
        <v>32</v>
      </c>
      <c r="L337" t="s">
        <v>36</v>
      </c>
      <c r="M337">
        <f t="shared" si="15"/>
        <v>321.52199999999999</v>
      </c>
      <c r="N337" s="6">
        <f t="shared" si="16"/>
        <v>0.13166750642257763</v>
      </c>
      <c r="O337" s="6" t="str">
        <f t="shared" si="17"/>
        <v>Jun</v>
      </c>
    </row>
    <row r="338" spans="1:15">
      <c r="A338" t="s">
        <v>556</v>
      </c>
      <c r="B338" s="2">
        <v>45832</v>
      </c>
      <c r="C338" t="s">
        <v>489</v>
      </c>
      <c r="D338" t="s">
        <v>84</v>
      </c>
      <c r="E338" t="s">
        <v>18</v>
      </c>
      <c r="F338" t="s">
        <v>35</v>
      </c>
      <c r="G338" s="10">
        <v>1</v>
      </c>
      <c r="H338">
        <v>1646.99</v>
      </c>
      <c r="I338" s="6">
        <v>0.1</v>
      </c>
      <c r="J338" s="8">
        <v>350.65</v>
      </c>
      <c r="K338" s="4" t="s">
        <v>65</v>
      </c>
      <c r="L338" t="s">
        <v>36</v>
      </c>
      <c r="M338">
        <f t="shared" si="15"/>
        <v>164.69900000000001</v>
      </c>
      <c r="N338" s="6">
        <f t="shared" si="16"/>
        <v>0.21290353918360158</v>
      </c>
      <c r="O338" s="6" t="str">
        <f t="shared" si="17"/>
        <v>Jun</v>
      </c>
    </row>
    <row r="339" spans="1:15">
      <c r="A339" t="s">
        <v>557</v>
      </c>
      <c r="B339" s="2">
        <v>45903</v>
      </c>
      <c r="C339" t="s">
        <v>207</v>
      </c>
      <c r="D339" t="s">
        <v>75</v>
      </c>
      <c r="E339" t="s">
        <v>76</v>
      </c>
      <c r="F339" t="s">
        <v>107</v>
      </c>
      <c r="G339" s="10">
        <v>1</v>
      </c>
      <c r="H339">
        <v>7724.46</v>
      </c>
      <c r="I339" s="6">
        <v>0.2</v>
      </c>
      <c r="J339" s="8">
        <v>1648.63</v>
      </c>
      <c r="K339" s="4" t="s">
        <v>20</v>
      </c>
      <c r="L339" t="s">
        <v>21</v>
      </c>
      <c r="M339">
        <f t="shared" si="15"/>
        <v>1544.8920000000001</v>
      </c>
      <c r="N339" s="6">
        <f t="shared" si="16"/>
        <v>0.21342980609647796</v>
      </c>
      <c r="O339" s="6" t="str">
        <f t="shared" si="17"/>
        <v>Sep</v>
      </c>
    </row>
    <row r="340" spans="1:15">
      <c r="A340" t="s">
        <v>558</v>
      </c>
      <c r="B340" s="2">
        <v>45926</v>
      </c>
      <c r="C340" t="s">
        <v>559</v>
      </c>
      <c r="D340" t="s">
        <v>126</v>
      </c>
      <c r="E340" t="s">
        <v>76</v>
      </c>
      <c r="F340" t="s">
        <v>107</v>
      </c>
      <c r="G340" s="10">
        <v>5</v>
      </c>
      <c r="H340">
        <v>52153.26</v>
      </c>
      <c r="I340" s="6">
        <v>0.1</v>
      </c>
      <c r="J340" s="8">
        <v>5457.18</v>
      </c>
      <c r="K340" s="4" t="s">
        <v>65</v>
      </c>
      <c r="L340" t="s">
        <v>36</v>
      </c>
      <c r="M340">
        <f t="shared" si="15"/>
        <v>5215.3260000000009</v>
      </c>
      <c r="N340" s="6">
        <f t="shared" si="16"/>
        <v>0.10463737070319286</v>
      </c>
      <c r="O340" s="6" t="str">
        <f t="shared" si="17"/>
        <v>Sep</v>
      </c>
    </row>
    <row r="341" spans="1:15">
      <c r="A341" t="s">
        <v>560</v>
      </c>
      <c r="B341" s="2">
        <v>45908</v>
      </c>
      <c r="C341" t="s">
        <v>561</v>
      </c>
      <c r="D341" t="s">
        <v>72</v>
      </c>
      <c r="E341" t="s">
        <v>69</v>
      </c>
      <c r="F341" t="s">
        <v>26</v>
      </c>
      <c r="G341" s="10">
        <v>5</v>
      </c>
      <c r="H341">
        <v>108004.97</v>
      </c>
      <c r="I341" s="6">
        <v>0.2</v>
      </c>
      <c r="J341" s="8">
        <v>20597.47</v>
      </c>
      <c r="K341" s="4" t="s">
        <v>65</v>
      </c>
      <c r="L341" t="s">
        <v>21</v>
      </c>
      <c r="M341">
        <f t="shared" si="15"/>
        <v>21600.994000000002</v>
      </c>
      <c r="N341" s="6">
        <f t="shared" si="16"/>
        <v>0.19070853869039547</v>
      </c>
      <c r="O341" s="6" t="str">
        <f t="shared" si="17"/>
        <v>Sep</v>
      </c>
    </row>
    <row r="342" spans="1:15">
      <c r="A342" t="s">
        <v>562</v>
      </c>
      <c r="B342" s="2">
        <v>45743</v>
      </c>
      <c r="C342" t="s">
        <v>563</v>
      </c>
      <c r="D342" t="s">
        <v>68</v>
      </c>
      <c r="E342" t="s">
        <v>69</v>
      </c>
      <c r="F342" t="s">
        <v>107</v>
      </c>
      <c r="G342" s="10">
        <v>1</v>
      </c>
      <c r="H342">
        <v>28748.77</v>
      </c>
      <c r="I342" s="6">
        <v>0.1</v>
      </c>
      <c r="J342" s="8">
        <v>3494.38</v>
      </c>
      <c r="K342" s="4" t="s">
        <v>32</v>
      </c>
      <c r="L342" t="s">
        <v>21</v>
      </c>
      <c r="M342">
        <f t="shared" si="15"/>
        <v>2874.8770000000004</v>
      </c>
      <c r="N342" s="6">
        <f t="shared" si="16"/>
        <v>0.12154885235090059</v>
      </c>
      <c r="O342" s="6" t="str">
        <f t="shared" si="17"/>
        <v>Mar</v>
      </c>
    </row>
    <row r="343" spans="1:15">
      <c r="A343" t="s">
        <v>564</v>
      </c>
      <c r="B343" s="2">
        <v>45796</v>
      </c>
      <c r="C343" t="s">
        <v>16</v>
      </c>
      <c r="D343" t="s">
        <v>114</v>
      </c>
      <c r="E343" t="s">
        <v>69</v>
      </c>
      <c r="F343" t="s">
        <v>19</v>
      </c>
      <c r="G343" s="10">
        <v>5</v>
      </c>
      <c r="H343">
        <v>135526.29</v>
      </c>
      <c r="I343" s="6">
        <v>0</v>
      </c>
      <c r="J343" s="8">
        <v>29911.64</v>
      </c>
      <c r="K343" s="4" t="s">
        <v>27</v>
      </c>
      <c r="L343" t="s">
        <v>36</v>
      </c>
      <c r="M343">
        <f t="shared" si="15"/>
        <v>0</v>
      </c>
      <c r="N343" s="6">
        <f t="shared" si="16"/>
        <v>0.22070728860061023</v>
      </c>
      <c r="O343" s="6" t="str">
        <f t="shared" si="17"/>
        <v>May</v>
      </c>
    </row>
    <row r="344" spans="1:15">
      <c r="A344" t="s">
        <v>565</v>
      </c>
      <c r="B344" s="2">
        <v>45949</v>
      </c>
      <c r="C344" t="s">
        <v>104</v>
      </c>
      <c r="D344" t="s">
        <v>30</v>
      </c>
      <c r="E344" t="s">
        <v>18</v>
      </c>
      <c r="F344" t="s">
        <v>107</v>
      </c>
      <c r="G344" s="10">
        <v>4</v>
      </c>
      <c r="H344">
        <v>9092.89</v>
      </c>
      <c r="I344" s="6">
        <v>0</v>
      </c>
      <c r="J344" s="8">
        <v>739.11</v>
      </c>
      <c r="K344" s="4" t="s">
        <v>42</v>
      </c>
      <c r="L344" t="s">
        <v>21</v>
      </c>
      <c r="M344">
        <f t="shared" si="15"/>
        <v>0</v>
      </c>
      <c r="N344" s="6">
        <f t="shared" si="16"/>
        <v>8.1284388131826077E-2</v>
      </c>
      <c r="O344" s="6" t="str">
        <f t="shared" si="17"/>
        <v>Oct</v>
      </c>
    </row>
    <row r="345" spans="1:15">
      <c r="A345" t="s">
        <v>566</v>
      </c>
      <c r="B345" s="2">
        <v>45996</v>
      </c>
      <c r="C345" t="s">
        <v>128</v>
      </c>
      <c r="D345" t="s">
        <v>146</v>
      </c>
      <c r="E345" t="s">
        <v>25</v>
      </c>
      <c r="F345" t="s">
        <v>26</v>
      </c>
      <c r="G345" s="10">
        <v>3</v>
      </c>
      <c r="H345">
        <v>5258.11</v>
      </c>
      <c r="I345" s="6">
        <v>0.1</v>
      </c>
      <c r="J345" s="8">
        <v>1159.31</v>
      </c>
      <c r="K345" s="4" t="s">
        <v>42</v>
      </c>
      <c r="L345" t="s">
        <v>36</v>
      </c>
      <c r="M345">
        <f t="shared" si="15"/>
        <v>525.81100000000004</v>
      </c>
      <c r="N345" s="6">
        <f t="shared" si="16"/>
        <v>0.22048036271588081</v>
      </c>
      <c r="O345" s="6" t="str">
        <f t="shared" si="17"/>
        <v>Dec</v>
      </c>
    </row>
    <row r="346" spans="1:15">
      <c r="A346" t="s">
        <v>567</v>
      </c>
      <c r="B346" s="2">
        <v>45892</v>
      </c>
      <c r="C346" t="s">
        <v>317</v>
      </c>
      <c r="D346" t="s">
        <v>53</v>
      </c>
      <c r="E346" t="s">
        <v>25</v>
      </c>
      <c r="F346" t="s">
        <v>35</v>
      </c>
      <c r="G346" s="10">
        <v>2</v>
      </c>
      <c r="H346">
        <v>6819.83</v>
      </c>
      <c r="I346" s="6">
        <v>0</v>
      </c>
      <c r="J346" s="8">
        <v>933.18</v>
      </c>
      <c r="K346" s="4" t="s">
        <v>20</v>
      </c>
      <c r="L346" t="s">
        <v>36</v>
      </c>
      <c r="M346">
        <f t="shared" si="15"/>
        <v>0</v>
      </c>
      <c r="N346" s="6">
        <f t="shared" si="16"/>
        <v>0.13683332282476249</v>
      </c>
      <c r="O346" s="6" t="str">
        <f t="shared" si="17"/>
        <v>Aug</v>
      </c>
    </row>
    <row r="347" spans="1:15">
      <c r="A347" t="s">
        <v>568</v>
      </c>
      <c r="B347" s="2">
        <v>45858</v>
      </c>
      <c r="C347" t="s">
        <v>187</v>
      </c>
      <c r="D347" t="s">
        <v>90</v>
      </c>
      <c r="E347" t="s">
        <v>69</v>
      </c>
      <c r="F347" t="s">
        <v>26</v>
      </c>
      <c r="G347" s="10">
        <v>2</v>
      </c>
      <c r="H347">
        <v>57573.88</v>
      </c>
      <c r="I347" s="6">
        <v>0.2</v>
      </c>
      <c r="J347" s="8">
        <v>7481.48</v>
      </c>
      <c r="K347" s="4" t="s">
        <v>65</v>
      </c>
      <c r="L347" t="s">
        <v>36</v>
      </c>
      <c r="M347">
        <f t="shared" si="15"/>
        <v>11514.776</v>
      </c>
      <c r="N347" s="6">
        <f t="shared" si="16"/>
        <v>0.12994573233556606</v>
      </c>
      <c r="O347" s="6" t="str">
        <f t="shared" si="17"/>
        <v>Jul</v>
      </c>
    </row>
    <row r="348" spans="1:15">
      <c r="A348" t="s">
        <v>569</v>
      </c>
      <c r="B348" s="2">
        <v>45716</v>
      </c>
      <c r="C348" t="s">
        <v>214</v>
      </c>
      <c r="D348" t="s">
        <v>87</v>
      </c>
      <c r="E348" t="s">
        <v>25</v>
      </c>
      <c r="F348" t="s">
        <v>19</v>
      </c>
      <c r="G348" s="10">
        <v>4</v>
      </c>
      <c r="H348">
        <v>4135.7</v>
      </c>
      <c r="I348" s="6">
        <v>0.15</v>
      </c>
      <c r="J348" s="8">
        <v>660.14</v>
      </c>
      <c r="K348" s="4" t="s">
        <v>32</v>
      </c>
      <c r="L348" t="s">
        <v>21</v>
      </c>
      <c r="M348">
        <f t="shared" si="15"/>
        <v>620.3549999999999</v>
      </c>
      <c r="N348" s="6">
        <f t="shared" si="16"/>
        <v>0.15961989506008656</v>
      </c>
      <c r="O348" s="6" t="str">
        <f t="shared" si="17"/>
        <v>Feb</v>
      </c>
    </row>
    <row r="349" spans="1:15">
      <c r="A349" t="s">
        <v>570</v>
      </c>
      <c r="B349" s="2">
        <v>45989</v>
      </c>
      <c r="C349" t="s">
        <v>254</v>
      </c>
      <c r="D349" t="s">
        <v>250</v>
      </c>
      <c r="E349" t="s">
        <v>76</v>
      </c>
      <c r="F349" t="s">
        <v>70</v>
      </c>
      <c r="G349" s="10">
        <v>2</v>
      </c>
      <c r="H349">
        <v>11730.75</v>
      </c>
      <c r="I349" s="6">
        <v>0.1</v>
      </c>
      <c r="J349" s="8">
        <v>1542.8</v>
      </c>
      <c r="K349" s="4" t="s">
        <v>65</v>
      </c>
      <c r="L349" t="s">
        <v>36</v>
      </c>
      <c r="M349">
        <f t="shared" si="15"/>
        <v>1173.075</v>
      </c>
      <c r="N349" s="6">
        <f t="shared" si="16"/>
        <v>0.13151759265179122</v>
      </c>
      <c r="O349" s="6" t="str">
        <f t="shared" si="17"/>
        <v>Nov</v>
      </c>
    </row>
    <row r="350" spans="1:15">
      <c r="A350" t="s">
        <v>571</v>
      </c>
      <c r="B350" s="2">
        <v>45879</v>
      </c>
      <c r="C350" t="s">
        <v>572</v>
      </c>
      <c r="D350" t="s">
        <v>146</v>
      </c>
      <c r="E350" t="s">
        <v>25</v>
      </c>
      <c r="F350" t="s">
        <v>35</v>
      </c>
      <c r="G350" s="10">
        <v>4</v>
      </c>
      <c r="H350">
        <v>13335.91</v>
      </c>
      <c r="I350" s="6">
        <v>0.1</v>
      </c>
      <c r="J350" s="8">
        <v>1577.15</v>
      </c>
      <c r="K350" s="4" t="s">
        <v>27</v>
      </c>
      <c r="L350" t="s">
        <v>21</v>
      </c>
      <c r="M350">
        <f t="shared" si="15"/>
        <v>1333.5910000000001</v>
      </c>
      <c r="N350" s="6">
        <f t="shared" si="16"/>
        <v>0.11826339559880054</v>
      </c>
      <c r="O350" s="6" t="str">
        <f t="shared" si="17"/>
        <v>Aug</v>
      </c>
    </row>
    <row r="351" spans="1:15">
      <c r="A351" t="s">
        <v>573</v>
      </c>
      <c r="B351" s="2">
        <v>45881</v>
      </c>
      <c r="C351" t="s">
        <v>254</v>
      </c>
      <c r="D351" t="s">
        <v>95</v>
      </c>
      <c r="E351" t="s">
        <v>76</v>
      </c>
      <c r="F351" t="s">
        <v>70</v>
      </c>
      <c r="G351" s="10">
        <v>1</v>
      </c>
      <c r="H351">
        <v>3332.41</v>
      </c>
      <c r="I351" s="6">
        <v>0.25</v>
      </c>
      <c r="J351" s="8">
        <v>572.66</v>
      </c>
      <c r="K351" s="4" t="s">
        <v>20</v>
      </c>
      <c r="L351" t="s">
        <v>36</v>
      </c>
      <c r="M351">
        <f t="shared" si="15"/>
        <v>833.10249999999996</v>
      </c>
      <c r="N351" s="6">
        <f t="shared" si="16"/>
        <v>0.17184560123154113</v>
      </c>
      <c r="O351" s="6" t="str">
        <f t="shared" si="17"/>
        <v>Aug</v>
      </c>
    </row>
    <row r="352" spans="1:15">
      <c r="A352" t="s">
        <v>574</v>
      </c>
      <c r="B352" s="2">
        <v>45767</v>
      </c>
      <c r="C352" t="s">
        <v>356</v>
      </c>
      <c r="D352" t="s">
        <v>64</v>
      </c>
      <c r="E352" t="s">
        <v>40</v>
      </c>
      <c r="F352" t="s">
        <v>31</v>
      </c>
      <c r="G352" s="10">
        <v>5</v>
      </c>
      <c r="H352">
        <v>6461.61</v>
      </c>
      <c r="I352" s="6">
        <v>0.25</v>
      </c>
      <c r="J352" s="8">
        <v>405.91</v>
      </c>
      <c r="K352" s="4" t="s">
        <v>42</v>
      </c>
      <c r="L352" t="s">
        <v>21</v>
      </c>
      <c r="M352">
        <f t="shared" si="15"/>
        <v>1615.4024999999999</v>
      </c>
      <c r="N352" s="6">
        <f t="shared" si="16"/>
        <v>6.2818709269052142E-2</v>
      </c>
      <c r="O352" s="6" t="str">
        <f t="shared" si="17"/>
        <v>Apr</v>
      </c>
    </row>
    <row r="353" spans="1:15">
      <c r="A353" t="s">
        <v>575</v>
      </c>
      <c r="B353" s="2">
        <v>45997</v>
      </c>
      <c r="C353" t="s">
        <v>464</v>
      </c>
      <c r="D353" t="s">
        <v>45</v>
      </c>
      <c r="E353" t="s">
        <v>18</v>
      </c>
      <c r="F353" t="s">
        <v>107</v>
      </c>
      <c r="G353" s="10">
        <v>4</v>
      </c>
      <c r="H353">
        <v>3089.24</v>
      </c>
      <c r="I353" s="6">
        <v>0</v>
      </c>
      <c r="J353" s="8">
        <v>529.86</v>
      </c>
      <c r="K353" s="4" t="s">
        <v>20</v>
      </c>
      <c r="L353" t="s">
        <v>21</v>
      </c>
      <c r="M353">
        <f t="shared" si="15"/>
        <v>0</v>
      </c>
      <c r="N353" s="6">
        <f t="shared" si="16"/>
        <v>0.17151791379109427</v>
      </c>
      <c r="O353" s="6" t="str">
        <f t="shared" si="17"/>
        <v>Dec</v>
      </c>
    </row>
    <row r="354" spans="1:15">
      <c r="A354" t="s">
        <v>576</v>
      </c>
      <c r="B354" s="2">
        <v>45959</v>
      </c>
      <c r="C354" t="s">
        <v>577</v>
      </c>
      <c r="D354" t="s">
        <v>64</v>
      </c>
      <c r="E354" t="s">
        <v>40</v>
      </c>
      <c r="F354" t="s">
        <v>19</v>
      </c>
      <c r="G354" s="10">
        <v>2</v>
      </c>
      <c r="H354">
        <v>4026.98</v>
      </c>
      <c r="I354" s="6">
        <v>0</v>
      </c>
      <c r="J354" s="8">
        <v>974.6</v>
      </c>
      <c r="K354" s="4" t="s">
        <v>20</v>
      </c>
      <c r="L354" t="s">
        <v>21</v>
      </c>
      <c r="M354">
        <f t="shared" si="15"/>
        <v>0</v>
      </c>
      <c r="N354" s="6">
        <f t="shared" si="16"/>
        <v>0.24201759134636874</v>
      </c>
      <c r="O354" s="6" t="str">
        <f t="shared" si="17"/>
        <v>Oct</v>
      </c>
    </row>
    <row r="355" spans="1:15">
      <c r="A355" t="s">
        <v>578</v>
      </c>
      <c r="B355" s="2">
        <v>45921</v>
      </c>
      <c r="C355" t="s">
        <v>23</v>
      </c>
      <c r="D355" t="s">
        <v>39</v>
      </c>
      <c r="E355" t="s">
        <v>40</v>
      </c>
      <c r="F355" t="s">
        <v>26</v>
      </c>
      <c r="G355" s="10">
        <v>3</v>
      </c>
      <c r="H355">
        <v>4988.6499999999996</v>
      </c>
      <c r="I355" s="6">
        <v>0.2</v>
      </c>
      <c r="J355" s="8">
        <v>453.97</v>
      </c>
      <c r="K355" s="4" t="s">
        <v>42</v>
      </c>
      <c r="L355" t="s">
        <v>36</v>
      </c>
      <c r="M355">
        <f t="shared" si="15"/>
        <v>997.73</v>
      </c>
      <c r="N355" s="6">
        <f t="shared" si="16"/>
        <v>9.1000571296843843E-2</v>
      </c>
      <c r="O355" s="6" t="str">
        <f t="shared" si="17"/>
        <v>Sep</v>
      </c>
    </row>
    <row r="356" spans="1:15">
      <c r="A356" t="s">
        <v>579</v>
      </c>
      <c r="B356" s="2">
        <v>46022</v>
      </c>
      <c r="C356" t="s">
        <v>580</v>
      </c>
      <c r="D356" t="s">
        <v>24</v>
      </c>
      <c r="E356" t="s">
        <v>25</v>
      </c>
      <c r="F356" t="s">
        <v>70</v>
      </c>
      <c r="G356" s="10">
        <v>3</v>
      </c>
      <c r="H356">
        <v>3444.08</v>
      </c>
      <c r="I356" s="6">
        <v>0.2</v>
      </c>
      <c r="J356" s="8">
        <v>384.14</v>
      </c>
      <c r="K356" s="4" t="s">
        <v>32</v>
      </c>
      <c r="L356" t="s">
        <v>21</v>
      </c>
      <c r="M356">
        <f t="shared" si="15"/>
        <v>688.81600000000003</v>
      </c>
      <c r="N356" s="6">
        <f t="shared" si="16"/>
        <v>0.11153631739100137</v>
      </c>
      <c r="O356" s="6" t="str">
        <f t="shared" si="17"/>
        <v>Dec</v>
      </c>
    </row>
    <row r="357" spans="1:15">
      <c r="A357" t="s">
        <v>581</v>
      </c>
      <c r="B357" s="2">
        <v>45948</v>
      </c>
      <c r="C357" t="s">
        <v>319</v>
      </c>
      <c r="D357" t="s">
        <v>87</v>
      </c>
      <c r="E357" t="s">
        <v>25</v>
      </c>
      <c r="F357" t="s">
        <v>70</v>
      </c>
      <c r="G357" s="10">
        <v>2</v>
      </c>
      <c r="H357">
        <v>6152.21</v>
      </c>
      <c r="I357" s="6">
        <v>0.15</v>
      </c>
      <c r="J357" s="8">
        <v>338.87</v>
      </c>
      <c r="K357" s="4" t="s">
        <v>27</v>
      </c>
      <c r="L357" t="s">
        <v>21</v>
      </c>
      <c r="M357">
        <f t="shared" si="15"/>
        <v>922.83150000000001</v>
      </c>
      <c r="N357" s="6">
        <f t="shared" si="16"/>
        <v>5.5081019666103723E-2</v>
      </c>
      <c r="O357" s="6" t="str">
        <f t="shared" si="17"/>
        <v>Oct</v>
      </c>
    </row>
    <row r="358" spans="1:15">
      <c r="A358" t="s">
        <v>582</v>
      </c>
      <c r="B358" s="2">
        <v>45795</v>
      </c>
      <c r="C358" t="s">
        <v>583</v>
      </c>
      <c r="D358" t="s">
        <v>61</v>
      </c>
      <c r="E358" t="s">
        <v>40</v>
      </c>
      <c r="F358" t="s">
        <v>35</v>
      </c>
      <c r="G358" s="10">
        <v>3</v>
      </c>
      <c r="H358">
        <v>3737.13</v>
      </c>
      <c r="I358" s="6">
        <v>0.2</v>
      </c>
      <c r="J358" s="8">
        <v>714.21</v>
      </c>
      <c r="K358" s="4" t="s">
        <v>27</v>
      </c>
      <c r="L358" t="s">
        <v>36</v>
      </c>
      <c r="M358">
        <f t="shared" si="15"/>
        <v>747.42600000000004</v>
      </c>
      <c r="N358" s="6">
        <f t="shared" si="16"/>
        <v>0.19111189602716525</v>
      </c>
      <c r="O358" s="6" t="str">
        <f t="shared" si="17"/>
        <v>May</v>
      </c>
    </row>
    <row r="359" spans="1:15">
      <c r="A359" t="s">
        <v>584</v>
      </c>
      <c r="B359" s="2">
        <v>45868</v>
      </c>
      <c r="C359" t="s">
        <v>319</v>
      </c>
      <c r="D359" t="s">
        <v>90</v>
      </c>
      <c r="E359" t="s">
        <v>69</v>
      </c>
      <c r="F359" t="s">
        <v>70</v>
      </c>
      <c r="G359" s="10">
        <v>3</v>
      </c>
      <c r="H359">
        <v>154149.43</v>
      </c>
      <c r="I359" s="6">
        <v>0.15</v>
      </c>
      <c r="J359" s="8">
        <v>28922.07</v>
      </c>
      <c r="K359" s="4" t="s">
        <v>20</v>
      </c>
      <c r="L359" t="s">
        <v>21</v>
      </c>
      <c r="M359">
        <f t="shared" si="15"/>
        <v>23122.414499999999</v>
      </c>
      <c r="N359" s="6">
        <f t="shared" si="16"/>
        <v>0.1876235935481565</v>
      </c>
      <c r="O359" s="6" t="str">
        <f t="shared" si="17"/>
        <v>Jul</v>
      </c>
    </row>
    <row r="360" spans="1:15">
      <c r="A360" t="s">
        <v>585</v>
      </c>
      <c r="B360" s="2">
        <v>45823</v>
      </c>
      <c r="C360" t="s">
        <v>252</v>
      </c>
      <c r="D360" t="s">
        <v>30</v>
      </c>
      <c r="E360" t="s">
        <v>18</v>
      </c>
      <c r="F360" t="s">
        <v>77</v>
      </c>
      <c r="G360" s="10">
        <v>1</v>
      </c>
      <c r="H360">
        <v>1903.69</v>
      </c>
      <c r="I360" s="6">
        <v>0.1</v>
      </c>
      <c r="J360" s="8">
        <v>473.5</v>
      </c>
      <c r="K360" s="4" t="s">
        <v>27</v>
      </c>
      <c r="L360" t="s">
        <v>36</v>
      </c>
      <c r="M360">
        <f t="shared" si="15"/>
        <v>190.36900000000003</v>
      </c>
      <c r="N360" s="6">
        <f t="shared" si="16"/>
        <v>0.24872747138452164</v>
      </c>
      <c r="O360" s="6" t="str">
        <f t="shared" si="17"/>
        <v>Jun</v>
      </c>
    </row>
    <row r="361" spans="1:15">
      <c r="A361" t="s">
        <v>586</v>
      </c>
      <c r="B361" s="2">
        <v>45790</v>
      </c>
      <c r="C361" t="s">
        <v>55</v>
      </c>
      <c r="D361" t="s">
        <v>24</v>
      </c>
      <c r="E361" t="s">
        <v>25</v>
      </c>
      <c r="F361" t="s">
        <v>70</v>
      </c>
      <c r="G361" s="10">
        <v>1</v>
      </c>
      <c r="H361">
        <v>3328.01</v>
      </c>
      <c r="I361" s="6">
        <v>0</v>
      </c>
      <c r="J361" s="8">
        <v>704.5</v>
      </c>
      <c r="K361" s="4" t="s">
        <v>65</v>
      </c>
      <c r="L361" t="s">
        <v>21</v>
      </c>
      <c r="M361">
        <f t="shared" si="15"/>
        <v>0</v>
      </c>
      <c r="N361" s="6">
        <f t="shared" si="16"/>
        <v>0.2116880658411483</v>
      </c>
      <c r="O361" s="6" t="str">
        <f t="shared" si="17"/>
        <v>May</v>
      </c>
    </row>
    <row r="362" spans="1:15">
      <c r="A362" t="s">
        <v>587</v>
      </c>
      <c r="B362" s="2">
        <v>45761</v>
      </c>
      <c r="C362" t="s">
        <v>60</v>
      </c>
      <c r="D362" t="s">
        <v>30</v>
      </c>
      <c r="E362" t="s">
        <v>18</v>
      </c>
      <c r="F362" t="s">
        <v>77</v>
      </c>
      <c r="G362" s="10">
        <v>4</v>
      </c>
      <c r="H362">
        <v>1371.42</v>
      </c>
      <c r="I362" s="6">
        <v>0.05</v>
      </c>
      <c r="J362" s="8">
        <v>265.25</v>
      </c>
      <c r="K362" s="4" t="s">
        <v>27</v>
      </c>
      <c r="L362" t="s">
        <v>36</v>
      </c>
      <c r="M362">
        <f t="shared" si="15"/>
        <v>68.571000000000012</v>
      </c>
      <c r="N362" s="6">
        <f t="shared" si="16"/>
        <v>0.19341266716250308</v>
      </c>
      <c r="O362" s="6" t="str">
        <f t="shared" si="17"/>
        <v>Apr</v>
      </c>
    </row>
    <row r="363" spans="1:15">
      <c r="A363" t="s">
        <v>588</v>
      </c>
      <c r="B363" s="2">
        <v>45864</v>
      </c>
      <c r="C363" t="s">
        <v>106</v>
      </c>
      <c r="D363" t="s">
        <v>72</v>
      </c>
      <c r="E363" t="s">
        <v>69</v>
      </c>
      <c r="F363" t="s">
        <v>19</v>
      </c>
      <c r="G363" s="10">
        <v>4</v>
      </c>
      <c r="H363">
        <v>102009.56</v>
      </c>
      <c r="I363" s="6">
        <v>0.15</v>
      </c>
      <c r="J363" s="8">
        <v>27539.01</v>
      </c>
      <c r="K363" s="4" t="s">
        <v>27</v>
      </c>
      <c r="L363" t="s">
        <v>21</v>
      </c>
      <c r="M363">
        <f t="shared" si="15"/>
        <v>15301.433999999999</v>
      </c>
      <c r="N363" s="6">
        <f t="shared" si="16"/>
        <v>0.2699649915164814</v>
      </c>
      <c r="O363" s="6" t="str">
        <f t="shared" si="17"/>
        <v>Jul</v>
      </c>
    </row>
    <row r="364" spans="1:15">
      <c r="A364" t="s">
        <v>589</v>
      </c>
      <c r="B364" s="2">
        <v>45887</v>
      </c>
      <c r="C364" t="s">
        <v>590</v>
      </c>
      <c r="D364" t="s">
        <v>39</v>
      </c>
      <c r="E364" t="s">
        <v>40</v>
      </c>
      <c r="F364" t="s">
        <v>70</v>
      </c>
      <c r="G364" s="10">
        <v>2</v>
      </c>
      <c r="H364">
        <v>4413.59</v>
      </c>
      <c r="I364" s="6">
        <v>0.05</v>
      </c>
      <c r="J364" s="8">
        <v>1055.4100000000001</v>
      </c>
      <c r="K364" s="4" t="s">
        <v>42</v>
      </c>
      <c r="L364" t="s">
        <v>36</v>
      </c>
      <c r="M364">
        <f t="shared" si="15"/>
        <v>220.67950000000002</v>
      </c>
      <c r="N364" s="6">
        <f t="shared" si="16"/>
        <v>0.23912733171862363</v>
      </c>
      <c r="O364" s="6" t="str">
        <f t="shared" si="17"/>
        <v>Aug</v>
      </c>
    </row>
    <row r="365" spans="1:15">
      <c r="A365" t="s">
        <v>591</v>
      </c>
      <c r="B365" s="2">
        <v>45997</v>
      </c>
      <c r="C365" t="s">
        <v>97</v>
      </c>
      <c r="D365" t="s">
        <v>126</v>
      </c>
      <c r="E365" t="s">
        <v>76</v>
      </c>
      <c r="F365" t="s">
        <v>107</v>
      </c>
      <c r="G365" s="10">
        <v>4</v>
      </c>
      <c r="H365">
        <v>12213.44</v>
      </c>
      <c r="I365" s="6">
        <v>0.25</v>
      </c>
      <c r="J365" s="8">
        <v>2644.71</v>
      </c>
      <c r="K365" s="4" t="s">
        <v>32</v>
      </c>
      <c r="L365" t="s">
        <v>21</v>
      </c>
      <c r="M365">
        <f t="shared" si="15"/>
        <v>3053.36</v>
      </c>
      <c r="N365" s="6">
        <f t="shared" si="16"/>
        <v>0.21654095815757066</v>
      </c>
      <c r="O365" s="6" t="str">
        <f t="shared" si="17"/>
        <v>Dec</v>
      </c>
    </row>
    <row r="366" spans="1:15">
      <c r="A366" t="s">
        <v>592</v>
      </c>
      <c r="B366" s="2">
        <v>45913</v>
      </c>
      <c r="C366" t="s">
        <v>593</v>
      </c>
      <c r="D366" t="s">
        <v>24</v>
      </c>
      <c r="E366" t="s">
        <v>25</v>
      </c>
      <c r="F366" t="s">
        <v>31</v>
      </c>
      <c r="G366" s="10">
        <v>1</v>
      </c>
      <c r="H366">
        <v>4238.97</v>
      </c>
      <c r="I366" s="6">
        <v>0.15</v>
      </c>
      <c r="J366" s="8">
        <v>423.56</v>
      </c>
      <c r="K366" s="4" t="s">
        <v>65</v>
      </c>
      <c r="L366" t="s">
        <v>21</v>
      </c>
      <c r="M366">
        <f t="shared" si="15"/>
        <v>635.84550000000002</v>
      </c>
      <c r="N366" s="6">
        <f t="shared" si="16"/>
        <v>9.9920499555316497E-2</v>
      </c>
      <c r="O366" s="6" t="str">
        <f t="shared" si="17"/>
        <v>Sep</v>
      </c>
    </row>
    <row r="367" spans="1:15">
      <c r="A367" t="s">
        <v>594</v>
      </c>
      <c r="B367" s="2">
        <v>45888</v>
      </c>
      <c r="C367" t="s">
        <v>315</v>
      </c>
      <c r="D367" t="s">
        <v>64</v>
      </c>
      <c r="E367" t="s">
        <v>40</v>
      </c>
      <c r="F367" t="s">
        <v>107</v>
      </c>
      <c r="G367" s="10">
        <v>5</v>
      </c>
      <c r="H367">
        <v>12222.61</v>
      </c>
      <c r="I367" s="6">
        <v>0</v>
      </c>
      <c r="J367" s="8">
        <v>2341.5100000000002</v>
      </c>
      <c r="K367" s="4" t="s">
        <v>32</v>
      </c>
      <c r="L367" t="s">
        <v>21</v>
      </c>
      <c r="M367">
        <f t="shared" si="15"/>
        <v>0</v>
      </c>
      <c r="N367" s="6">
        <f t="shared" si="16"/>
        <v>0.19157201285159225</v>
      </c>
      <c r="O367" s="6" t="str">
        <f t="shared" si="17"/>
        <v>Aug</v>
      </c>
    </row>
    <row r="368" spans="1:15">
      <c r="A368" t="s">
        <v>595</v>
      </c>
      <c r="B368" s="2">
        <v>46021</v>
      </c>
      <c r="C368" t="s">
        <v>559</v>
      </c>
      <c r="D368" t="s">
        <v>95</v>
      </c>
      <c r="E368" t="s">
        <v>76</v>
      </c>
      <c r="F368" t="s">
        <v>19</v>
      </c>
      <c r="G368" s="10">
        <v>2</v>
      </c>
      <c r="H368">
        <v>6503.87</v>
      </c>
      <c r="I368" s="6">
        <v>0.15</v>
      </c>
      <c r="J368" s="8">
        <v>354.16</v>
      </c>
      <c r="K368" s="4" t="s">
        <v>42</v>
      </c>
      <c r="L368" t="s">
        <v>21</v>
      </c>
      <c r="M368">
        <f t="shared" si="15"/>
        <v>975.58049999999992</v>
      </c>
      <c r="N368" s="6">
        <f t="shared" si="16"/>
        <v>5.4453732931316286E-2</v>
      </c>
      <c r="O368" s="6" t="str">
        <f t="shared" si="17"/>
        <v>Dec</v>
      </c>
    </row>
    <row r="369" spans="1:15">
      <c r="A369" t="s">
        <v>596</v>
      </c>
      <c r="B369" s="2">
        <v>45783</v>
      </c>
      <c r="C369" t="s">
        <v>590</v>
      </c>
      <c r="D369" t="s">
        <v>84</v>
      </c>
      <c r="E369" t="s">
        <v>18</v>
      </c>
      <c r="F369" t="s">
        <v>77</v>
      </c>
      <c r="G369" s="10">
        <v>1</v>
      </c>
      <c r="H369">
        <v>3295.87</v>
      </c>
      <c r="I369" s="6">
        <v>0.15</v>
      </c>
      <c r="J369" s="8">
        <v>360.27</v>
      </c>
      <c r="K369" s="4" t="s">
        <v>20</v>
      </c>
      <c r="L369" t="s">
        <v>36</v>
      </c>
      <c r="M369">
        <f t="shared" si="15"/>
        <v>494.38049999999998</v>
      </c>
      <c r="N369" s="6">
        <f t="shared" si="16"/>
        <v>0.10930952980548383</v>
      </c>
      <c r="O369" s="6" t="str">
        <f t="shared" si="17"/>
        <v>May</v>
      </c>
    </row>
    <row r="370" spans="1:15">
      <c r="A370" t="s">
        <v>597</v>
      </c>
      <c r="B370" s="2">
        <v>45685</v>
      </c>
      <c r="C370" t="s">
        <v>249</v>
      </c>
      <c r="D370" t="s">
        <v>45</v>
      </c>
      <c r="E370" t="s">
        <v>18</v>
      </c>
      <c r="F370" t="s">
        <v>77</v>
      </c>
      <c r="G370" s="10">
        <v>1</v>
      </c>
      <c r="H370">
        <v>1235.24</v>
      </c>
      <c r="I370" s="6">
        <v>0.2</v>
      </c>
      <c r="J370" s="8">
        <v>105.42</v>
      </c>
      <c r="K370" s="4" t="s">
        <v>42</v>
      </c>
      <c r="L370" t="s">
        <v>36</v>
      </c>
      <c r="M370">
        <f t="shared" si="15"/>
        <v>247.048</v>
      </c>
      <c r="N370" s="6">
        <f t="shared" si="16"/>
        <v>8.5343738868559962E-2</v>
      </c>
      <c r="O370" s="6" t="str">
        <f t="shared" si="17"/>
        <v>Jan</v>
      </c>
    </row>
    <row r="371" spans="1:15">
      <c r="A371" t="s">
        <v>598</v>
      </c>
      <c r="B371" s="2">
        <v>45753</v>
      </c>
      <c r="C371" t="s">
        <v>173</v>
      </c>
      <c r="D371" t="s">
        <v>75</v>
      </c>
      <c r="E371" t="s">
        <v>76</v>
      </c>
      <c r="F371" t="s">
        <v>70</v>
      </c>
      <c r="G371" s="10">
        <v>5</v>
      </c>
      <c r="H371">
        <v>35331.42</v>
      </c>
      <c r="I371" s="6">
        <v>0.05</v>
      </c>
      <c r="J371" s="8">
        <v>6552.17</v>
      </c>
      <c r="K371" s="4" t="s">
        <v>42</v>
      </c>
      <c r="L371" t="s">
        <v>36</v>
      </c>
      <c r="M371">
        <f t="shared" si="15"/>
        <v>1766.5709999999999</v>
      </c>
      <c r="N371" s="6">
        <f t="shared" si="16"/>
        <v>0.18544881581323366</v>
      </c>
      <c r="O371" s="6" t="str">
        <f t="shared" si="17"/>
        <v>Apr</v>
      </c>
    </row>
    <row r="372" spans="1:15">
      <c r="A372" t="s">
        <v>599</v>
      </c>
      <c r="B372" s="2">
        <v>45763</v>
      </c>
      <c r="C372" t="s">
        <v>242</v>
      </c>
      <c r="D372" t="s">
        <v>68</v>
      </c>
      <c r="E372" t="s">
        <v>69</v>
      </c>
      <c r="F372" t="s">
        <v>35</v>
      </c>
      <c r="G372" s="10">
        <v>5</v>
      </c>
      <c r="H372">
        <v>138372.94</v>
      </c>
      <c r="I372" s="6">
        <v>0</v>
      </c>
      <c r="J372" s="8">
        <v>14954.96</v>
      </c>
      <c r="K372" s="4" t="s">
        <v>32</v>
      </c>
      <c r="L372" t="s">
        <v>21</v>
      </c>
      <c r="M372">
        <f t="shared" si="15"/>
        <v>0</v>
      </c>
      <c r="N372" s="6">
        <f t="shared" si="16"/>
        <v>0.10807720064342059</v>
      </c>
      <c r="O372" s="6" t="str">
        <f t="shared" si="17"/>
        <v>Apr</v>
      </c>
    </row>
    <row r="373" spans="1:15">
      <c r="A373" t="s">
        <v>600</v>
      </c>
      <c r="B373" s="2">
        <v>45976</v>
      </c>
      <c r="C373" t="s">
        <v>16</v>
      </c>
      <c r="D373" t="s">
        <v>191</v>
      </c>
      <c r="E373" t="s">
        <v>69</v>
      </c>
      <c r="F373" t="s">
        <v>107</v>
      </c>
      <c r="G373" s="10">
        <v>5</v>
      </c>
      <c r="H373">
        <v>321613.81</v>
      </c>
      <c r="I373" s="6">
        <v>0</v>
      </c>
      <c r="J373" s="8">
        <v>92064.94</v>
      </c>
      <c r="K373" s="4" t="s">
        <v>27</v>
      </c>
      <c r="L373" t="s">
        <v>21</v>
      </c>
      <c r="M373">
        <f t="shared" si="15"/>
        <v>0</v>
      </c>
      <c r="N373" s="6">
        <f t="shared" si="16"/>
        <v>0.28625928718670385</v>
      </c>
      <c r="O373" s="6" t="str">
        <f t="shared" si="17"/>
        <v>Nov</v>
      </c>
    </row>
    <row r="374" spans="1:15">
      <c r="A374" t="s">
        <v>601</v>
      </c>
      <c r="B374" s="2">
        <v>45695</v>
      </c>
      <c r="C374" t="s">
        <v>55</v>
      </c>
      <c r="D374" t="s">
        <v>90</v>
      </c>
      <c r="E374" t="s">
        <v>69</v>
      </c>
      <c r="F374" t="s">
        <v>31</v>
      </c>
      <c r="G374" s="10">
        <v>3</v>
      </c>
      <c r="H374">
        <v>129146.71</v>
      </c>
      <c r="I374" s="6">
        <v>0</v>
      </c>
      <c r="J374" s="8">
        <v>32658.959999999999</v>
      </c>
      <c r="K374" s="4" t="s">
        <v>42</v>
      </c>
      <c r="L374" t="s">
        <v>21</v>
      </c>
      <c r="M374">
        <f t="shared" si="15"/>
        <v>0</v>
      </c>
      <c r="N374" s="6">
        <f t="shared" si="16"/>
        <v>0.25288263247279003</v>
      </c>
      <c r="O374" s="6" t="str">
        <f t="shared" si="17"/>
        <v>Feb</v>
      </c>
    </row>
    <row r="375" spans="1:15">
      <c r="A375" t="s">
        <v>602</v>
      </c>
      <c r="B375" s="2">
        <v>45886</v>
      </c>
      <c r="C375" t="s">
        <v>130</v>
      </c>
      <c r="D375" t="s">
        <v>61</v>
      </c>
      <c r="E375" t="s">
        <v>40</v>
      </c>
      <c r="F375" t="s">
        <v>26</v>
      </c>
      <c r="G375" s="10">
        <v>3</v>
      </c>
      <c r="H375">
        <v>4861.68</v>
      </c>
      <c r="I375" s="6">
        <v>0.15</v>
      </c>
      <c r="J375" s="8">
        <v>787.24</v>
      </c>
      <c r="K375" s="4" t="s">
        <v>42</v>
      </c>
      <c r="L375" t="s">
        <v>21</v>
      </c>
      <c r="M375">
        <f t="shared" si="15"/>
        <v>729.25200000000007</v>
      </c>
      <c r="N375" s="6">
        <f t="shared" si="16"/>
        <v>0.16192756413420875</v>
      </c>
      <c r="O375" s="6" t="str">
        <f t="shared" si="17"/>
        <v>Aug</v>
      </c>
    </row>
    <row r="376" spans="1:15">
      <c r="A376" t="s">
        <v>603</v>
      </c>
      <c r="B376" s="2">
        <v>45844</v>
      </c>
      <c r="C376" t="s">
        <v>340</v>
      </c>
      <c r="D376" t="s">
        <v>114</v>
      </c>
      <c r="E376" t="s">
        <v>69</v>
      </c>
      <c r="F376" t="s">
        <v>35</v>
      </c>
      <c r="G376" s="10">
        <v>4</v>
      </c>
      <c r="H376">
        <v>41084.660000000003</v>
      </c>
      <c r="I376" s="6">
        <v>0.1</v>
      </c>
      <c r="J376" s="8">
        <v>4963.1400000000003</v>
      </c>
      <c r="K376" s="4" t="s">
        <v>20</v>
      </c>
      <c r="L376" t="s">
        <v>21</v>
      </c>
      <c r="M376">
        <f t="shared" si="15"/>
        <v>4108.4660000000003</v>
      </c>
      <c r="N376" s="6">
        <f t="shared" si="16"/>
        <v>0.12080275217076154</v>
      </c>
      <c r="O376" s="6" t="str">
        <f t="shared" si="17"/>
        <v>Jul</v>
      </c>
    </row>
    <row r="377" spans="1:15">
      <c r="A377" t="s">
        <v>604</v>
      </c>
      <c r="B377" s="2">
        <v>45913</v>
      </c>
      <c r="C377" t="s">
        <v>361</v>
      </c>
      <c r="D377" t="s">
        <v>72</v>
      </c>
      <c r="E377" t="s">
        <v>69</v>
      </c>
      <c r="F377" t="s">
        <v>77</v>
      </c>
      <c r="G377" s="10">
        <v>3</v>
      </c>
      <c r="H377">
        <v>60658.84</v>
      </c>
      <c r="I377" s="6">
        <v>0.1</v>
      </c>
      <c r="J377" s="8">
        <v>14199.6</v>
      </c>
      <c r="K377" s="4" t="s">
        <v>42</v>
      </c>
      <c r="L377" t="s">
        <v>21</v>
      </c>
      <c r="M377">
        <f t="shared" si="15"/>
        <v>6065.884</v>
      </c>
      <c r="N377" s="6">
        <f t="shared" si="16"/>
        <v>0.23408954078251415</v>
      </c>
      <c r="O377" s="6" t="str">
        <f t="shared" si="17"/>
        <v>Sep</v>
      </c>
    </row>
    <row r="378" spans="1:15">
      <c r="A378" t="s">
        <v>605</v>
      </c>
      <c r="B378" s="2">
        <v>45670</v>
      </c>
      <c r="C378" t="s">
        <v>38</v>
      </c>
      <c r="D378" t="s">
        <v>114</v>
      </c>
      <c r="E378" t="s">
        <v>69</v>
      </c>
      <c r="F378" t="s">
        <v>41</v>
      </c>
      <c r="G378" s="10">
        <v>5</v>
      </c>
      <c r="H378">
        <v>269310.52</v>
      </c>
      <c r="I378" s="6">
        <v>0.05</v>
      </c>
      <c r="J378" s="8">
        <v>20659.34</v>
      </c>
      <c r="K378" s="4" t="s">
        <v>42</v>
      </c>
      <c r="L378" t="s">
        <v>21</v>
      </c>
      <c r="M378">
        <f t="shared" si="15"/>
        <v>13465.526000000002</v>
      </c>
      <c r="N378" s="6">
        <f t="shared" si="16"/>
        <v>7.6711968028579047E-2</v>
      </c>
      <c r="O378" s="6" t="str">
        <f t="shared" si="17"/>
        <v>Jan</v>
      </c>
    </row>
    <row r="379" spans="1:15">
      <c r="A379" t="s">
        <v>606</v>
      </c>
      <c r="B379" s="2">
        <v>45715</v>
      </c>
      <c r="C379" t="s">
        <v>479</v>
      </c>
      <c r="D379" t="s">
        <v>50</v>
      </c>
      <c r="E379" t="s">
        <v>40</v>
      </c>
      <c r="F379" t="s">
        <v>31</v>
      </c>
      <c r="G379" s="10">
        <v>2</v>
      </c>
      <c r="H379">
        <v>3576.2</v>
      </c>
      <c r="I379" s="6">
        <v>0.25</v>
      </c>
      <c r="J379" s="8">
        <v>633.72</v>
      </c>
      <c r="K379" s="4" t="s">
        <v>32</v>
      </c>
      <c r="L379" t="s">
        <v>21</v>
      </c>
      <c r="M379">
        <f t="shared" si="15"/>
        <v>894.05</v>
      </c>
      <c r="N379" s="6">
        <f t="shared" si="16"/>
        <v>0.17720485431463567</v>
      </c>
      <c r="O379" s="6" t="str">
        <f t="shared" si="17"/>
        <v>Feb</v>
      </c>
    </row>
    <row r="380" spans="1:15">
      <c r="A380" t="s">
        <v>607</v>
      </c>
      <c r="B380" s="2">
        <v>45846</v>
      </c>
      <c r="C380" t="s">
        <v>452</v>
      </c>
      <c r="D380" t="s">
        <v>50</v>
      </c>
      <c r="E380" t="s">
        <v>40</v>
      </c>
      <c r="F380" t="s">
        <v>35</v>
      </c>
      <c r="G380" s="10">
        <v>2</v>
      </c>
      <c r="H380">
        <v>3921.91</v>
      </c>
      <c r="I380" s="6">
        <v>0</v>
      </c>
      <c r="J380" s="8">
        <v>774.54</v>
      </c>
      <c r="K380" s="4" t="s">
        <v>20</v>
      </c>
      <c r="L380" t="s">
        <v>21</v>
      </c>
      <c r="M380">
        <f t="shared" si="15"/>
        <v>0</v>
      </c>
      <c r="N380" s="6">
        <f t="shared" si="16"/>
        <v>0.1974905084512393</v>
      </c>
      <c r="O380" s="6" t="str">
        <f t="shared" si="17"/>
        <v>Jul</v>
      </c>
    </row>
    <row r="381" spans="1:15">
      <c r="A381" t="s">
        <v>608</v>
      </c>
      <c r="B381" s="2">
        <v>45751</v>
      </c>
      <c r="C381" t="s">
        <v>455</v>
      </c>
      <c r="D381" t="s">
        <v>124</v>
      </c>
      <c r="E381" t="s">
        <v>76</v>
      </c>
      <c r="F381" t="s">
        <v>41</v>
      </c>
      <c r="G381" s="10">
        <v>5</v>
      </c>
      <c r="H381">
        <v>5795.31</v>
      </c>
      <c r="I381" s="6">
        <v>0</v>
      </c>
      <c r="J381" s="8">
        <v>972</v>
      </c>
      <c r="K381" s="4" t="s">
        <v>42</v>
      </c>
      <c r="L381" t="s">
        <v>21</v>
      </c>
      <c r="M381">
        <f t="shared" si="15"/>
        <v>0</v>
      </c>
      <c r="N381" s="6">
        <f t="shared" si="16"/>
        <v>0.16772183023858947</v>
      </c>
      <c r="O381" s="6" t="str">
        <f t="shared" si="17"/>
        <v>Apr</v>
      </c>
    </row>
    <row r="382" spans="1:15">
      <c r="A382" t="s">
        <v>609</v>
      </c>
      <c r="B382" s="2">
        <v>45970</v>
      </c>
      <c r="C382" t="s">
        <v>317</v>
      </c>
      <c r="D382" t="s">
        <v>64</v>
      </c>
      <c r="E382" t="s">
        <v>40</v>
      </c>
      <c r="F382" t="s">
        <v>19</v>
      </c>
      <c r="G382" s="10">
        <v>4</v>
      </c>
      <c r="H382">
        <v>9355.4500000000007</v>
      </c>
      <c r="I382" s="6">
        <v>0</v>
      </c>
      <c r="J382" s="8">
        <v>2104.7199999999998</v>
      </c>
      <c r="K382" s="4" t="s">
        <v>65</v>
      </c>
      <c r="L382" t="s">
        <v>36</v>
      </c>
      <c r="M382">
        <f t="shared" si="15"/>
        <v>0</v>
      </c>
      <c r="N382" s="6">
        <f t="shared" si="16"/>
        <v>0.22497260954844497</v>
      </c>
      <c r="O382" s="6" t="str">
        <f t="shared" si="17"/>
        <v>Nov</v>
      </c>
    </row>
    <row r="383" spans="1:15">
      <c r="A383" t="s">
        <v>610</v>
      </c>
      <c r="B383" s="2">
        <v>45729</v>
      </c>
      <c r="C383" t="s">
        <v>86</v>
      </c>
      <c r="D383" t="s">
        <v>30</v>
      </c>
      <c r="E383" t="s">
        <v>18</v>
      </c>
      <c r="F383" t="s">
        <v>70</v>
      </c>
      <c r="G383" s="10">
        <v>3</v>
      </c>
      <c r="H383">
        <v>2577.85</v>
      </c>
      <c r="I383" s="6">
        <v>0</v>
      </c>
      <c r="J383" s="8">
        <v>532.01</v>
      </c>
      <c r="K383" s="4" t="s">
        <v>32</v>
      </c>
      <c r="L383" t="s">
        <v>21</v>
      </c>
      <c r="M383">
        <f t="shared" si="15"/>
        <v>0</v>
      </c>
      <c r="N383" s="6">
        <f t="shared" si="16"/>
        <v>0.20637740752953043</v>
      </c>
      <c r="O383" s="6" t="str">
        <f t="shared" si="17"/>
        <v>Mar</v>
      </c>
    </row>
    <row r="384" spans="1:15">
      <c r="A384" t="s">
        <v>611</v>
      </c>
      <c r="B384" s="2">
        <v>45878</v>
      </c>
      <c r="C384" t="s">
        <v>340</v>
      </c>
      <c r="D384" t="s">
        <v>68</v>
      </c>
      <c r="E384" t="s">
        <v>69</v>
      </c>
      <c r="F384" t="s">
        <v>107</v>
      </c>
      <c r="G384" s="10">
        <v>5</v>
      </c>
      <c r="H384">
        <v>139211.91</v>
      </c>
      <c r="I384" s="6">
        <v>0.25</v>
      </c>
      <c r="J384" s="8">
        <v>20571.75</v>
      </c>
      <c r="K384" s="4" t="s">
        <v>32</v>
      </c>
      <c r="L384" t="s">
        <v>21</v>
      </c>
      <c r="M384">
        <f t="shared" si="15"/>
        <v>34802.977500000001</v>
      </c>
      <c r="N384" s="6">
        <f t="shared" si="16"/>
        <v>0.14777291684310631</v>
      </c>
      <c r="O384" s="6" t="str">
        <f t="shared" si="17"/>
        <v>Aug</v>
      </c>
    </row>
    <row r="385" spans="1:15">
      <c r="A385" t="s">
        <v>612</v>
      </c>
      <c r="B385" s="2">
        <v>45796</v>
      </c>
      <c r="C385" t="s">
        <v>178</v>
      </c>
      <c r="D385" t="s">
        <v>68</v>
      </c>
      <c r="E385" t="s">
        <v>69</v>
      </c>
      <c r="F385" t="s">
        <v>26</v>
      </c>
      <c r="G385" s="10">
        <v>1</v>
      </c>
      <c r="H385">
        <v>21021.22</v>
      </c>
      <c r="I385" s="6">
        <v>0.05</v>
      </c>
      <c r="J385" s="8">
        <v>3985.68</v>
      </c>
      <c r="K385" s="4" t="s">
        <v>32</v>
      </c>
      <c r="L385" t="s">
        <v>21</v>
      </c>
      <c r="M385">
        <f t="shared" si="15"/>
        <v>1051.0610000000001</v>
      </c>
      <c r="N385" s="6">
        <f t="shared" si="16"/>
        <v>0.18960269670361662</v>
      </c>
      <c r="O385" s="6" t="str">
        <f t="shared" si="17"/>
        <v>May</v>
      </c>
    </row>
    <row r="386" spans="1:15">
      <c r="A386" t="s">
        <v>613</v>
      </c>
      <c r="B386" s="2">
        <v>45695</v>
      </c>
      <c r="C386" t="s">
        <v>94</v>
      </c>
      <c r="D386" t="s">
        <v>87</v>
      </c>
      <c r="E386" t="s">
        <v>25</v>
      </c>
      <c r="F386" t="s">
        <v>26</v>
      </c>
      <c r="G386" s="10">
        <v>5</v>
      </c>
      <c r="H386">
        <v>18949.98</v>
      </c>
      <c r="I386" s="6">
        <v>0.15</v>
      </c>
      <c r="J386" s="8">
        <v>2284.87</v>
      </c>
      <c r="K386" s="4" t="s">
        <v>27</v>
      </c>
      <c r="L386" t="s">
        <v>21</v>
      </c>
      <c r="M386">
        <f t="shared" si="15"/>
        <v>2842.4969999999998</v>
      </c>
      <c r="N386" s="6">
        <f t="shared" si="16"/>
        <v>0.12057374203033459</v>
      </c>
      <c r="O386" s="6" t="str">
        <f t="shared" si="17"/>
        <v>Feb</v>
      </c>
    </row>
    <row r="387" spans="1:15">
      <c r="A387" t="s">
        <v>614</v>
      </c>
      <c r="B387" s="2">
        <v>45885</v>
      </c>
      <c r="C387" t="s">
        <v>615</v>
      </c>
      <c r="D387" t="s">
        <v>126</v>
      </c>
      <c r="E387" t="s">
        <v>76</v>
      </c>
      <c r="F387" t="s">
        <v>19</v>
      </c>
      <c r="G387" s="10">
        <v>4</v>
      </c>
      <c r="H387">
        <v>56455</v>
      </c>
      <c r="I387" s="6">
        <v>0.05</v>
      </c>
      <c r="J387" s="8">
        <v>7649.55</v>
      </c>
      <c r="K387" s="4" t="s">
        <v>32</v>
      </c>
      <c r="L387" t="s">
        <v>21</v>
      </c>
      <c r="M387">
        <f t="shared" ref="M387:M450" si="18">H387*I387</f>
        <v>2822.75</v>
      </c>
      <c r="N387" s="6">
        <f t="shared" ref="N387:N450" si="19">IFERROR(J387/H387,0)</f>
        <v>0.13549818439465061</v>
      </c>
      <c r="O387" s="6" t="str">
        <f t="shared" ref="O387:O450" si="20">TEXT(B387,"mmm")</f>
        <v>Aug</v>
      </c>
    </row>
    <row r="388" spans="1:15">
      <c r="A388" t="s">
        <v>616</v>
      </c>
      <c r="B388" s="2">
        <v>45953</v>
      </c>
      <c r="C388" t="s">
        <v>319</v>
      </c>
      <c r="D388" t="s">
        <v>95</v>
      </c>
      <c r="E388" t="s">
        <v>76</v>
      </c>
      <c r="F388" t="s">
        <v>41</v>
      </c>
      <c r="G388" s="10">
        <v>1</v>
      </c>
      <c r="H388">
        <v>13361.3</v>
      </c>
      <c r="I388" s="6">
        <v>0.05</v>
      </c>
      <c r="J388" s="8">
        <v>3765.57</v>
      </c>
      <c r="K388" s="4" t="s">
        <v>42</v>
      </c>
      <c r="L388" t="s">
        <v>36</v>
      </c>
      <c r="M388">
        <f t="shared" si="18"/>
        <v>668.06500000000005</v>
      </c>
      <c r="N388" s="6">
        <f t="shared" si="19"/>
        <v>0.28182661866734526</v>
      </c>
      <c r="O388" s="6" t="str">
        <f t="shared" si="20"/>
        <v>Oct</v>
      </c>
    </row>
    <row r="389" spans="1:15">
      <c r="A389" t="s">
        <v>617</v>
      </c>
      <c r="B389" s="2">
        <v>45724</v>
      </c>
      <c r="C389" t="s">
        <v>618</v>
      </c>
      <c r="D389" t="s">
        <v>50</v>
      </c>
      <c r="E389" t="s">
        <v>40</v>
      </c>
      <c r="F389" t="s">
        <v>19</v>
      </c>
      <c r="G389" s="10">
        <v>2</v>
      </c>
      <c r="H389">
        <v>391.96</v>
      </c>
      <c r="I389" s="6">
        <v>0.25</v>
      </c>
      <c r="J389" s="8">
        <v>76.66</v>
      </c>
      <c r="K389" s="4" t="s">
        <v>27</v>
      </c>
      <c r="L389" t="s">
        <v>36</v>
      </c>
      <c r="M389">
        <f t="shared" si="18"/>
        <v>97.99</v>
      </c>
      <c r="N389" s="6">
        <f t="shared" si="19"/>
        <v>0.19558118175324013</v>
      </c>
      <c r="O389" s="6" t="str">
        <f t="shared" si="20"/>
        <v>Mar</v>
      </c>
    </row>
    <row r="390" spans="1:15">
      <c r="A390" t="s">
        <v>619</v>
      </c>
      <c r="B390" s="2">
        <v>45940</v>
      </c>
      <c r="C390" t="s">
        <v>111</v>
      </c>
      <c r="D390" t="s">
        <v>56</v>
      </c>
      <c r="E390" t="s">
        <v>40</v>
      </c>
      <c r="F390" t="s">
        <v>31</v>
      </c>
      <c r="G390" s="10">
        <v>1</v>
      </c>
      <c r="H390">
        <v>225.65</v>
      </c>
      <c r="I390" s="6">
        <v>0.15</v>
      </c>
      <c r="J390" s="8">
        <v>58.74</v>
      </c>
      <c r="K390" s="4" t="s">
        <v>27</v>
      </c>
      <c r="L390" t="s">
        <v>21</v>
      </c>
      <c r="M390">
        <f t="shared" si="18"/>
        <v>33.847499999999997</v>
      </c>
      <c r="N390" s="6">
        <f t="shared" si="19"/>
        <v>0.26031464657655662</v>
      </c>
      <c r="O390" s="6" t="str">
        <f t="shared" si="20"/>
        <v>Oct</v>
      </c>
    </row>
    <row r="391" spans="1:15">
      <c r="A391" t="s">
        <v>620</v>
      </c>
      <c r="B391" s="2">
        <v>45789</v>
      </c>
      <c r="C391" t="s">
        <v>118</v>
      </c>
      <c r="D391" t="s">
        <v>250</v>
      </c>
      <c r="E391" t="s">
        <v>76</v>
      </c>
      <c r="F391" t="s">
        <v>41</v>
      </c>
      <c r="G391" s="10">
        <v>1</v>
      </c>
      <c r="H391">
        <v>6536.8</v>
      </c>
      <c r="I391" s="6">
        <v>0.05</v>
      </c>
      <c r="J391" s="8">
        <v>699.01</v>
      </c>
      <c r="K391" s="4" t="s">
        <v>42</v>
      </c>
      <c r="L391" t="s">
        <v>21</v>
      </c>
      <c r="M391">
        <f t="shared" si="18"/>
        <v>326.84000000000003</v>
      </c>
      <c r="N391" s="6">
        <f t="shared" si="19"/>
        <v>0.10693458573002081</v>
      </c>
      <c r="O391" s="6" t="str">
        <f t="shared" si="20"/>
        <v>May</v>
      </c>
    </row>
    <row r="392" spans="1:15">
      <c r="A392" t="s">
        <v>621</v>
      </c>
      <c r="B392" s="2">
        <v>45951</v>
      </c>
      <c r="C392" t="s">
        <v>622</v>
      </c>
      <c r="D392" t="s">
        <v>61</v>
      </c>
      <c r="E392" t="s">
        <v>40</v>
      </c>
      <c r="F392" t="s">
        <v>41</v>
      </c>
      <c r="G392" s="10">
        <v>5</v>
      </c>
      <c r="H392">
        <v>6454.51</v>
      </c>
      <c r="I392" s="6">
        <v>0.05</v>
      </c>
      <c r="J392" s="8">
        <v>521.54999999999995</v>
      </c>
      <c r="K392" s="4" t="s">
        <v>20</v>
      </c>
      <c r="L392" t="s">
        <v>21</v>
      </c>
      <c r="M392">
        <f t="shared" si="18"/>
        <v>322.72550000000001</v>
      </c>
      <c r="N392" s="6">
        <f t="shared" si="19"/>
        <v>8.0803964979525938E-2</v>
      </c>
      <c r="O392" s="6" t="str">
        <f t="shared" si="20"/>
        <v>Oct</v>
      </c>
    </row>
    <row r="393" spans="1:15">
      <c r="A393" t="s">
        <v>623</v>
      </c>
      <c r="B393" s="2">
        <v>45770</v>
      </c>
      <c r="C393" t="s">
        <v>274</v>
      </c>
      <c r="D393" t="s">
        <v>124</v>
      </c>
      <c r="E393" t="s">
        <v>76</v>
      </c>
      <c r="F393" t="s">
        <v>70</v>
      </c>
      <c r="G393" s="10">
        <v>3</v>
      </c>
      <c r="H393">
        <v>13992.84</v>
      </c>
      <c r="I393" s="6">
        <v>0.15</v>
      </c>
      <c r="J393" s="8">
        <v>2850.03</v>
      </c>
      <c r="K393" s="4" t="s">
        <v>32</v>
      </c>
      <c r="L393" t="s">
        <v>21</v>
      </c>
      <c r="M393">
        <f t="shared" si="18"/>
        <v>2098.9259999999999</v>
      </c>
      <c r="N393" s="6">
        <f t="shared" si="19"/>
        <v>0.20367773804317066</v>
      </c>
      <c r="O393" s="6" t="str">
        <f t="shared" si="20"/>
        <v>Apr</v>
      </c>
    </row>
    <row r="394" spans="1:15">
      <c r="A394" t="s">
        <v>624</v>
      </c>
      <c r="B394" s="2">
        <v>45857</v>
      </c>
      <c r="C394" t="s">
        <v>204</v>
      </c>
      <c r="D394" t="s">
        <v>126</v>
      </c>
      <c r="E394" t="s">
        <v>76</v>
      </c>
      <c r="F394" t="s">
        <v>107</v>
      </c>
      <c r="G394" s="10">
        <v>3</v>
      </c>
      <c r="H394">
        <v>29074.13</v>
      </c>
      <c r="I394" s="6">
        <v>0.2</v>
      </c>
      <c r="J394" s="8">
        <v>2869.49</v>
      </c>
      <c r="K394" s="4" t="s">
        <v>32</v>
      </c>
      <c r="L394" t="s">
        <v>21</v>
      </c>
      <c r="M394">
        <f t="shared" si="18"/>
        <v>5814.8260000000009</v>
      </c>
      <c r="N394" s="6">
        <f t="shared" si="19"/>
        <v>9.8695644547231495E-2</v>
      </c>
      <c r="O394" s="6" t="str">
        <f t="shared" si="20"/>
        <v>Jul</v>
      </c>
    </row>
    <row r="395" spans="1:15">
      <c r="A395" t="s">
        <v>625</v>
      </c>
      <c r="B395" s="2">
        <v>45716</v>
      </c>
      <c r="C395" t="s">
        <v>321</v>
      </c>
      <c r="D395" t="s">
        <v>61</v>
      </c>
      <c r="E395" t="s">
        <v>40</v>
      </c>
      <c r="F395" t="s">
        <v>26</v>
      </c>
      <c r="G395" s="10">
        <v>2</v>
      </c>
      <c r="H395">
        <v>3251.17</v>
      </c>
      <c r="I395" s="6">
        <v>0.15</v>
      </c>
      <c r="J395" s="8">
        <v>589.08000000000004</v>
      </c>
      <c r="K395" s="4" t="s">
        <v>42</v>
      </c>
      <c r="L395" t="s">
        <v>21</v>
      </c>
      <c r="M395">
        <f t="shared" si="18"/>
        <v>487.6755</v>
      </c>
      <c r="N395" s="6">
        <f t="shared" si="19"/>
        <v>0.18119015615916734</v>
      </c>
      <c r="O395" s="6" t="str">
        <f t="shared" si="20"/>
        <v>Feb</v>
      </c>
    </row>
    <row r="396" spans="1:15">
      <c r="A396" t="s">
        <v>626</v>
      </c>
      <c r="B396" s="2">
        <v>45877</v>
      </c>
      <c r="C396" t="s">
        <v>200</v>
      </c>
      <c r="D396" t="s">
        <v>56</v>
      </c>
      <c r="E396" t="s">
        <v>40</v>
      </c>
      <c r="F396" t="s">
        <v>31</v>
      </c>
      <c r="G396" s="10">
        <v>2</v>
      </c>
      <c r="H396">
        <v>3867.51</v>
      </c>
      <c r="I396" s="6">
        <v>0.05</v>
      </c>
      <c r="J396" s="8">
        <v>622.55999999999995</v>
      </c>
      <c r="K396" s="4" t="s">
        <v>42</v>
      </c>
      <c r="L396" t="s">
        <v>36</v>
      </c>
      <c r="M396">
        <f t="shared" si="18"/>
        <v>193.37550000000002</v>
      </c>
      <c r="N396" s="6">
        <f t="shared" si="19"/>
        <v>0.16097178804967535</v>
      </c>
      <c r="O396" s="6" t="str">
        <f t="shared" si="20"/>
        <v>Aug</v>
      </c>
    </row>
    <row r="397" spans="1:15">
      <c r="A397" t="s">
        <v>627</v>
      </c>
      <c r="B397" s="2">
        <v>45978</v>
      </c>
      <c r="C397" t="s">
        <v>137</v>
      </c>
      <c r="D397" t="s">
        <v>114</v>
      </c>
      <c r="E397" t="s">
        <v>69</v>
      </c>
      <c r="F397" t="s">
        <v>77</v>
      </c>
      <c r="G397" s="10">
        <v>1</v>
      </c>
      <c r="H397">
        <v>28412.97</v>
      </c>
      <c r="I397" s="6">
        <v>0.25</v>
      </c>
      <c r="J397" s="8">
        <v>7037.79</v>
      </c>
      <c r="K397" s="4" t="s">
        <v>32</v>
      </c>
      <c r="L397" t="s">
        <v>21</v>
      </c>
      <c r="M397">
        <f t="shared" si="18"/>
        <v>7103.2425000000003</v>
      </c>
      <c r="N397" s="6">
        <f t="shared" si="19"/>
        <v>0.24769638654459564</v>
      </c>
      <c r="O397" s="6" t="str">
        <f t="shared" si="20"/>
        <v>Nov</v>
      </c>
    </row>
    <row r="398" spans="1:15">
      <c r="A398" t="s">
        <v>628</v>
      </c>
      <c r="B398" s="2">
        <v>45798</v>
      </c>
      <c r="C398" t="s">
        <v>145</v>
      </c>
      <c r="D398" t="s">
        <v>68</v>
      </c>
      <c r="E398" t="s">
        <v>69</v>
      </c>
      <c r="F398" t="s">
        <v>77</v>
      </c>
      <c r="G398" s="10">
        <v>1</v>
      </c>
      <c r="H398">
        <v>40785.550000000003</v>
      </c>
      <c r="I398" s="6">
        <v>0.25</v>
      </c>
      <c r="J398" s="8">
        <v>10531.19</v>
      </c>
      <c r="K398" s="4" t="s">
        <v>20</v>
      </c>
      <c r="L398" t="s">
        <v>21</v>
      </c>
      <c r="M398">
        <f t="shared" si="18"/>
        <v>10196.387500000001</v>
      </c>
      <c r="N398" s="6">
        <f t="shared" si="19"/>
        <v>0.25820885092882162</v>
      </c>
      <c r="O398" s="6" t="str">
        <f t="shared" si="20"/>
        <v>May</v>
      </c>
    </row>
    <row r="399" spans="1:15">
      <c r="A399" t="s">
        <v>629</v>
      </c>
      <c r="B399" s="2">
        <v>45898</v>
      </c>
      <c r="C399" t="s">
        <v>180</v>
      </c>
      <c r="D399" t="s">
        <v>56</v>
      </c>
      <c r="E399" t="s">
        <v>40</v>
      </c>
      <c r="F399" t="s">
        <v>41</v>
      </c>
      <c r="G399" s="10">
        <v>5</v>
      </c>
      <c r="H399">
        <v>3015.61</v>
      </c>
      <c r="I399" s="6">
        <v>0.15</v>
      </c>
      <c r="J399" s="8">
        <v>207.33</v>
      </c>
      <c r="K399" s="4" t="s">
        <v>65</v>
      </c>
      <c r="L399" t="s">
        <v>21</v>
      </c>
      <c r="M399">
        <f t="shared" si="18"/>
        <v>452.3415</v>
      </c>
      <c r="N399" s="6">
        <f t="shared" si="19"/>
        <v>6.8752259078594377E-2</v>
      </c>
      <c r="O399" s="6" t="str">
        <f t="shared" si="20"/>
        <v>Aug</v>
      </c>
    </row>
    <row r="400" spans="1:15">
      <c r="A400" t="s">
        <v>630</v>
      </c>
      <c r="B400" s="2">
        <v>45855</v>
      </c>
      <c r="C400" t="s">
        <v>534</v>
      </c>
      <c r="D400" t="s">
        <v>39</v>
      </c>
      <c r="E400" t="s">
        <v>40</v>
      </c>
      <c r="F400" t="s">
        <v>77</v>
      </c>
      <c r="G400" s="10">
        <v>3</v>
      </c>
      <c r="H400">
        <v>4921.7299999999996</v>
      </c>
      <c r="I400" s="6">
        <v>0.05</v>
      </c>
      <c r="J400" s="8">
        <v>570.63</v>
      </c>
      <c r="K400" s="4" t="s">
        <v>20</v>
      </c>
      <c r="L400" t="s">
        <v>36</v>
      </c>
      <c r="M400">
        <f t="shared" si="18"/>
        <v>246.0865</v>
      </c>
      <c r="N400" s="6">
        <f t="shared" si="19"/>
        <v>0.11594093946640714</v>
      </c>
      <c r="O400" s="6" t="str">
        <f t="shared" si="20"/>
        <v>Jul</v>
      </c>
    </row>
    <row r="401" spans="1:15">
      <c r="A401" t="s">
        <v>631</v>
      </c>
      <c r="B401" s="2">
        <v>45896</v>
      </c>
      <c r="C401" t="s">
        <v>216</v>
      </c>
      <c r="D401" t="s">
        <v>84</v>
      </c>
      <c r="E401" t="s">
        <v>18</v>
      </c>
      <c r="F401" t="s">
        <v>19</v>
      </c>
      <c r="G401" s="10">
        <v>4</v>
      </c>
      <c r="H401">
        <v>10204.82</v>
      </c>
      <c r="I401" s="6">
        <v>0.1</v>
      </c>
      <c r="J401" s="8">
        <v>1387.86</v>
      </c>
      <c r="K401" s="4" t="s">
        <v>27</v>
      </c>
      <c r="L401" t="s">
        <v>21</v>
      </c>
      <c r="M401">
        <f t="shared" si="18"/>
        <v>1020.482</v>
      </c>
      <c r="N401" s="6">
        <f t="shared" si="19"/>
        <v>0.13600043900823336</v>
      </c>
      <c r="O401" s="6" t="str">
        <f t="shared" si="20"/>
        <v>Aug</v>
      </c>
    </row>
    <row r="402" spans="1:15">
      <c r="A402" t="s">
        <v>632</v>
      </c>
      <c r="B402" s="2">
        <v>45984</v>
      </c>
      <c r="C402" t="s">
        <v>439</v>
      </c>
      <c r="D402" t="s">
        <v>61</v>
      </c>
      <c r="E402" t="s">
        <v>40</v>
      </c>
      <c r="F402" t="s">
        <v>35</v>
      </c>
      <c r="G402" s="10">
        <v>3</v>
      </c>
      <c r="H402">
        <v>6520.74</v>
      </c>
      <c r="I402" s="6">
        <v>0.1</v>
      </c>
      <c r="J402" s="8">
        <v>923.01</v>
      </c>
      <c r="K402" s="4" t="s">
        <v>20</v>
      </c>
      <c r="L402" t="s">
        <v>36</v>
      </c>
      <c r="M402">
        <f t="shared" si="18"/>
        <v>652.07400000000007</v>
      </c>
      <c r="N402" s="6">
        <f t="shared" si="19"/>
        <v>0.14154988544244979</v>
      </c>
      <c r="O402" s="6" t="str">
        <f t="shared" si="20"/>
        <v>Nov</v>
      </c>
    </row>
    <row r="403" spans="1:15">
      <c r="A403" t="s">
        <v>633</v>
      </c>
      <c r="B403" s="2">
        <v>45847</v>
      </c>
      <c r="C403" t="s">
        <v>378</v>
      </c>
      <c r="D403" t="s">
        <v>84</v>
      </c>
      <c r="E403" t="s">
        <v>18</v>
      </c>
      <c r="F403" t="s">
        <v>70</v>
      </c>
      <c r="G403" s="10">
        <v>4</v>
      </c>
      <c r="H403">
        <v>6095.84</v>
      </c>
      <c r="I403" s="6">
        <v>0.15</v>
      </c>
      <c r="J403" s="8">
        <v>1009.57</v>
      </c>
      <c r="K403" s="4" t="s">
        <v>32</v>
      </c>
      <c r="L403" t="s">
        <v>36</v>
      </c>
      <c r="M403">
        <f t="shared" si="18"/>
        <v>914.37599999999998</v>
      </c>
      <c r="N403" s="6">
        <f t="shared" si="19"/>
        <v>0.16561622352292713</v>
      </c>
      <c r="O403" s="6" t="str">
        <f t="shared" si="20"/>
        <v>Jul</v>
      </c>
    </row>
    <row r="404" spans="1:15">
      <c r="A404" t="s">
        <v>634</v>
      </c>
      <c r="B404" s="2">
        <v>45728</v>
      </c>
      <c r="C404" t="s">
        <v>294</v>
      </c>
      <c r="D404" t="s">
        <v>39</v>
      </c>
      <c r="E404" t="s">
        <v>40</v>
      </c>
      <c r="F404" t="s">
        <v>77</v>
      </c>
      <c r="G404" s="10">
        <v>4</v>
      </c>
      <c r="H404">
        <v>8785.4</v>
      </c>
      <c r="I404" s="6">
        <v>0.05</v>
      </c>
      <c r="J404" s="8">
        <v>1214.33</v>
      </c>
      <c r="K404" s="4" t="s">
        <v>27</v>
      </c>
      <c r="L404" t="s">
        <v>36</v>
      </c>
      <c r="M404">
        <f t="shared" si="18"/>
        <v>439.27</v>
      </c>
      <c r="N404" s="6">
        <f t="shared" si="19"/>
        <v>0.1382213672684226</v>
      </c>
      <c r="O404" s="6" t="str">
        <f t="shared" si="20"/>
        <v>Mar</v>
      </c>
    </row>
    <row r="405" spans="1:15">
      <c r="A405" t="s">
        <v>635</v>
      </c>
      <c r="B405" s="2">
        <v>45878</v>
      </c>
      <c r="C405" t="s">
        <v>152</v>
      </c>
      <c r="D405" t="s">
        <v>124</v>
      </c>
      <c r="E405" t="s">
        <v>76</v>
      </c>
      <c r="F405" t="s">
        <v>77</v>
      </c>
      <c r="G405" s="10">
        <v>4</v>
      </c>
      <c r="H405">
        <v>20809.82</v>
      </c>
      <c r="I405" s="6">
        <v>0.25</v>
      </c>
      <c r="J405" s="8">
        <v>1641.87</v>
      </c>
      <c r="K405" s="4" t="s">
        <v>27</v>
      </c>
      <c r="L405" t="s">
        <v>36</v>
      </c>
      <c r="M405">
        <f t="shared" si="18"/>
        <v>5202.4549999999999</v>
      </c>
      <c r="N405" s="6">
        <f t="shared" si="19"/>
        <v>7.8898808351057337E-2</v>
      </c>
      <c r="O405" s="6" t="str">
        <f t="shared" si="20"/>
        <v>Aug</v>
      </c>
    </row>
    <row r="406" spans="1:15">
      <c r="A406" t="s">
        <v>636</v>
      </c>
      <c r="B406" s="2">
        <v>45663</v>
      </c>
      <c r="C406" t="s">
        <v>563</v>
      </c>
      <c r="D406" t="s">
        <v>217</v>
      </c>
      <c r="E406" t="s">
        <v>18</v>
      </c>
      <c r="F406" t="s">
        <v>26</v>
      </c>
      <c r="G406" s="10">
        <v>2</v>
      </c>
      <c r="H406">
        <v>6475.21</v>
      </c>
      <c r="I406" s="6">
        <v>0.05</v>
      </c>
      <c r="J406" s="8">
        <v>1170.47</v>
      </c>
      <c r="K406" s="4" t="s">
        <v>32</v>
      </c>
      <c r="L406" t="s">
        <v>21</v>
      </c>
      <c r="M406">
        <f t="shared" si="18"/>
        <v>323.76050000000004</v>
      </c>
      <c r="N406" s="6">
        <f t="shared" si="19"/>
        <v>0.18076170502578295</v>
      </c>
      <c r="O406" s="6" t="str">
        <f t="shared" si="20"/>
        <v>Jan</v>
      </c>
    </row>
    <row r="407" spans="1:15">
      <c r="A407" t="s">
        <v>637</v>
      </c>
      <c r="B407" s="2">
        <v>45753</v>
      </c>
      <c r="C407" t="s">
        <v>106</v>
      </c>
      <c r="D407" t="s">
        <v>75</v>
      </c>
      <c r="E407" t="s">
        <v>76</v>
      </c>
      <c r="F407" t="s">
        <v>77</v>
      </c>
      <c r="G407" s="10">
        <v>4</v>
      </c>
      <c r="H407">
        <v>20812.060000000001</v>
      </c>
      <c r="I407" s="6">
        <v>0</v>
      </c>
      <c r="J407" s="8">
        <v>4712.04</v>
      </c>
      <c r="K407" s="4" t="s">
        <v>32</v>
      </c>
      <c r="L407" t="s">
        <v>21</v>
      </c>
      <c r="M407">
        <f t="shared" si="18"/>
        <v>0</v>
      </c>
      <c r="N407" s="6">
        <f t="shared" si="19"/>
        <v>0.22640911087129287</v>
      </c>
      <c r="O407" s="6" t="str">
        <f t="shared" si="20"/>
        <v>Apr</v>
      </c>
    </row>
    <row r="408" spans="1:15">
      <c r="A408" t="s">
        <v>638</v>
      </c>
      <c r="B408" s="2">
        <v>45973</v>
      </c>
      <c r="C408" t="s">
        <v>523</v>
      </c>
      <c r="D408" t="s">
        <v>84</v>
      </c>
      <c r="E408" t="s">
        <v>18</v>
      </c>
      <c r="F408" t="s">
        <v>41</v>
      </c>
      <c r="G408" s="10">
        <v>4</v>
      </c>
      <c r="H408">
        <v>10824.49</v>
      </c>
      <c r="I408" s="6">
        <v>0</v>
      </c>
      <c r="J408" s="8">
        <v>1760.46</v>
      </c>
      <c r="K408" s="4" t="s">
        <v>27</v>
      </c>
      <c r="L408" t="s">
        <v>21</v>
      </c>
      <c r="M408">
        <f t="shared" si="18"/>
        <v>0</v>
      </c>
      <c r="N408" s="6">
        <f t="shared" si="19"/>
        <v>0.16263676163957841</v>
      </c>
      <c r="O408" s="6" t="str">
        <f t="shared" si="20"/>
        <v>Nov</v>
      </c>
    </row>
    <row r="409" spans="1:15">
      <c r="A409" t="s">
        <v>639</v>
      </c>
      <c r="B409" s="2">
        <v>45938</v>
      </c>
      <c r="C409" t="s">
        <v>640</v>
      </c>
      <c r="D409" t="s">
        <v>64</v>
      </c>
      <c r="E409" t="s">
        <v>40</v>
      </c>
      <c r="F409" t="s">
        <v>77</v>
      </c>
      <c r="G409" s="10">
        <v>4</v>
      </c>
      <c r="H409">
        <v>2174.5100000000002</v>
      </c>
      <c r="I409" s="6">
        <v>0</v>
      </c>
      <c r="J409" s="8">
        <v>492.35</v>
      </c>
      <c r="K409" s="4" t="s">
        <v>27</v>
      </c>
      <c r="L409" t="s">
        <v>36</v>
      </c>
      <c r="M409">
        <f t="shared" si="18"/>
        <v>0</v>
      </c>
      <c r="N409" s="6">
        <f t="shared" si="19"/>
        <v>0.22641882539054775</v>
      </c>
      <c r="O409" s="6" t="str">
        <f t="shared" si="20"/>
        <v>Oct</v>
      </c>
    </row>
    <row r="410" spans="1:15">
      <c r="A410" t="s">
        <v>641</v>
      </c>
      <c r="B410" s="2">
        <v>46012</v>
      </c>
      <c r="C410" t="s">
        <v>310</v>
      </c>
      <c r="D410" t="s">
        <v>68</v>
      </c>
      <c r="E410" t="s">
        <v>69</v>
      </c>
      <c r="F410" t="s">
        <v>107</v>
      </c>
      <c r="G410" s="10">
        <v>4</v>
      </c>
      <c r="H410">
        <v>84918.65</v>
      </c>
      <c r="I410" s="6">
        <v>0.05</v>
      </c>
      <c r="J410" s="8">
        <v>11081.08</v>
      </c>
      <c r="K410" s="4" t="s">
        <v>20</v>
      </c>
      <c r="L410" t="s">
        <v>36</v>
      </c>
      <c r="M410">
        <f t="shared" si="18"/>
        <v>4245.9324999999999</v>
      </c>
      <c r="N410" s="6">
        <f t="shared" si="19"/>
        <v>0.1304905341759437</v>
      </c>
      <c r="O410" s="6" t="str">
        <f t="shared" si="20"/>
        <v>Dec</v>
      </c>
    </row>
    <row r="411" spans="1:15">
      <c r="A411" t="s">
        <v>642</v>
      </c>
      <c r="B411" s="2">
        <v>45778</v>
      </c>
      <c r="C411" t="s">
        <v>194</v>
      </c>
      <c r="D411" t="s">
        <v>191</v>
      </c>
      <c r="E411" t="s">
        <v>69</v>
      </c>
      <c r="F411" t="s">
        <v>35</v>
      </c>
      <c r="G411" s="10">
        <v>2</v>
      </c>
      <c r="H411">
        <v>108554.45</v>
      </c>
      <c r="I411" s="6">
        <v>0.1</v>
      </c>
      <c r="J411" s="8">
        <v>7132.92</v>
      </c>
      <c r="K411" s="4" t="s">
        <v>32</v>
      </c>
      <c r="L411" t="s">
        <v>36</v>
      </c>
      <c r="M411">
        <f t="shared" si="18"/>
        <v>10855.445</v>
      </c>
      <c r="N411" s="6">
        <f t="shared" si="19"/>
        <v>6.5708222924071746E-2</v>
      </c>
      <c r="O411" s="6" t="str">
        <f t="shared" si="20"/>
        <v>May</v>
      </c>
    </row>
    <row r="412" spans="1:15">
      <c r="A412" t="s">
        <v>643</v>
      </c>
      <c r="B412" s="2">
        <v>45896</v>
      </c>
      <c r="C412" t="s">
        <v>240</v>
      </c>
      <c r="D412" t="s">
        <v>126</v>
      </c>
      <c r="E412" t="s">
        <v>76</v>
      </c>
      <c r="F412" t="s">
        <v>35</v>
      </c>
      <c r="G412" s="10">
        <v>2</v>
      </c>
      <c r="H412">
        <v>14449.77</v>
      </c>
      <c r="I412" s="6">
        <v>0.2</v>
      </c>
      <c r="J412" s="8">
        <v>2952.33</v>
      </c>
      <c r="K412" s="4" t="s">
        <v>32</v>
      </c>
      <c r="L412" t="s">
        <v>21</v>
      </c>
      <c r="M412">
        <f t="shared" si="18"/>
        <v>2889.9540000000002</v>
      </c>
      <c r="N412" s="6">
        <f t="shared" si="19"/>
        <v>0.20431674691015841</v>
      </c>
      <c r="O412" s="6" t="str">
        <f t="shared" si="20"/>
        <v>Aug</v>
      </c>
    </row>
    <row r="413" spans="1:15">
      <c r="A413" t="s">
        <v>644</v>
      </c>
      <c r="B413" s="2">
        <v>45911</v>
      </c>
      <c r="C413" t="s">
        <v>207</v>
      </c>
      <c r="D413" t="s">
        <v>217</v>
      </c>
      <c r="E413" t="s">
        <v>18</v>
      </c>
      <c r="F413" t="s">
        <v>19</v>
      </c>
      <c r="G413" s="10">
        <v>3</v>
      </c>
      <c r="H413">
        <v>7827.52</v>
      </c>
      <c r="I413" s="6">
        <v>0.2</v>
      </c>
      <c r="J413" s="8">
        <v>1091.83</v>
      </c>
      <c r="K413" s="4" t="s">
        <v>20</v>
      </c>
      <c r="L413" t="s">
        <v>36</v>
      </c>
      <c r="M413">
        <f t="shared" si="18"/>
        <v>1565.5040000000001</v>
      </c>
      <c r="N413" s="6">
        <f t="shared" si="19"/>
        <v>0.13948606966191077</v>
      </c>
      <c r="O413" s="6" t="str">
        <f t="shared" si="20"/>
        <v>Sep</v>
      </c>
    </row>
    <row r="414" spans="1:15">
      <c r="A414" t="s">
        <v>645</v>
      </c>
      <c r="B414" s="2">
        <v>46006</v>
      </c>
      <c r="C414" t="s">
        <v>476</v>
      </c>
      <c r="D414" t="s">
        <v>217</v>
      </c>
      <c r="E414" t="s">
        <v>18</v>
      </c>
      <c r="F414" t="s">
        <v>26</v>
      </c>
      <c r="G414" s="10">
        <v>4</v>
      </c>
      <c r="H414">
        <v>3875.52</v>
      </c>
      <c r="I414" s="6">
        <v>0.25</v>
      </c>
      <c r="J414" s="8">
        <v>943.66</v>
      </c>
      <c r="K414" s="4" t="s">
        <v>20</v>
      </c>
      <c r="L414" t="s">
        <v>21</v>
      </c>
      <c r="M414">
        <f t="shared" si="18"/>
        <v>968.88</v>
      </c>
      <c r="N414" s="6">
        <f t="shared" si="19"/>
        <v>0.24349248616959787</v>
      </c>
      <c r="O414" s="6" t="str">
        <f t="shared" si="20"/>
        <v>Dec</v>
      </c>
    </row>
    <row r="415" spans="1:15">
      <c r="A415" t="s">
        <v>646</v>
      </c>
      <c r="B415" s="2">
        <v>45932</v>
      </c>
      <c r="C415" t="s">
        <v>281</v>
      </c>
      <c r="D415" t="s">
        <v>87</v>
      </c>
      <c r="E415" t="s">
        <v>25</v>
      </c>
      <c r="F415" t="s">
        <v>26</v>
      </c>
      <c r="G415" s="10">
        <v>5</v>
      </c>
      <c r="H415">
        <v>11953.52</v>
      </c>
      <c r="I415" s="6">
        <v>0.2</v>
      </c>
      <c r="J415" s="8">
        <v>2881.75</v>
      </c>
      <c r="K415" s="4" t="s">
        <v>65</v>
      </c>
      <c r="L415" t="s">
        <v>36</v>
      </c>
      <c r="M415">
        <f t="shared" si="18"/>
        <v>2390.7040000000002</v>
      </c>
      <c r="N415" s="6">
        <f t="shared" si="19"/>
        <v>0.24107961504226369</v>
      </c>
      <c r="O415" s="6" t="str">
        <f t="shared" si="20"/>
        <v>Oct</v>
      </c>
    </row>
    <row r="416" spans="1:15">
      <c r="A416" t="s">
        <v>647</v>
      </c>
      <c r="B416" s="2">
        <v>45881</v>
      </c>
      <c r="C416" t="s">
        <v>298</v>
      </c>
      <c r="D416" t="s">
        <v>45</v>
      </c>
      <c r="E416" t="s">
        <v>18</v>
      </c>
      <c r="F416" t="s">
        <v>35</v>
      </c>
      <c r="G416" s="10">
        <v>2</v>
      </c>
      <c r="H416">
        <v>706.16</v>
      </c>
      <c r="I416" s="6">
        <v>0.15</v>
      </c>
      <c r="J416" s="8">
        <v>137.82</v>
      </c>
      <c r="K416" s="4" t="s">
        <v>20</v>
      </c>
      <c r="L416" t="s">
        <v>36</v>
      </c>
      <c r="M416">
        <f t="shared" si="18"/>
        <v>105.92399999999999</v>
      </c>
      <c r="N416" s="6">
        <f t="shared" si="19"/>
        <v>0.19516823382802764</v>
      </c>
      <c r="O416" s="6" t="str">
        <f t="shared" si="20"/>
        <v>Aug</v>
      </c>
    </row>
    <row r="417" spans="1:15">
      <c r="A417" t="s">
        <v>648</v>
      </c>
      <c r="B417" s="2">
        <v>45837</v>
      </c>
      <c r="C417" t="s">
        <v>120</v>
      </c>
      <c r="D417" t="s">
        <v>64</v>
      </c>
      <c r="E417" t="s">
        <v>40</v>
      </c>
      <c r="F417" t="s">
        <v>77</v>
      </c>
      <c r="G417" s="10">
        <v>4</v>
      </c>
      <c r="H417">
        <v>3807.21</v>
      </c>
      <c r="I417" s="6">
        <v>0</v>
      </c>
      <c r="J417" s="8">
        <v>434.58</v>
      </c>
      <c r="K417" s="4" t="s">
        <v>42</v>
      </c>
      <c r="L417" t="s">
        <v>21</v>
      </c>
      <c r="M417">
        <f t="shared" si="18"/>
        <v>0</v>
      </c>
      <c r="N417" s="6">
        <f t="shared" si="19"/>
        <v>0.1141465797788932</v>
      </c>
      <c r="O417" s="6" t="str">
        <f t="shared" si="20"/>
        <v>Jun</v>
      </c>
    </row>
    <row r="418" spans="1:15">
      <c r="A418" t="s">
        <v>649</v>
      </c>
      <c r="B418" s="2">
        <v>45945</v>
      </c>
      <c r="C418" t="s">
        <v>332</v>
      </c>
      <c r="D418" t="s">
        <v>90</v>
      </c>
      <c r="E418" t="s">
        <v>69</v>
      </c>
      <c r="F418" t="s">
        <v>107</v>
      </c>
      <c r="G418" s="10">
        <v>4</v>
      </c>
      <c r="H418">
        <v>24252.73</v>
      </c>
      <c r="I418" s="6">
        <v>0.2</v>
      </c>
      <c r="J418" s="8">
        <v>2058.37</v>
      </c>
      <c r="K418" s="4" t="s">
        <v>27</v>
      </c>
      <c r="L418" t="s">
        <v>36</v>
      </c>
      <c r="M418">
        <f t="shared" si="18"/>
        <v>4850.5460000000003</v>
      </c>
      <c r="N418" s="6">
        <f t="shared" si="19"/>
        <v>8.4871682486878791E-2</v>
      </c>
      <c r="O418" s="6" t="str">
        <f t="shared" si="20"/>
        <v>Oct</v>
      </c>
    </row>
    <row r="419" spans="1:15">
      <c r="A419" t="s">
        <v>650</v>
      </c>
      <c r="B419" s="2">
        <v>45955</v>
      </c>
      <c r="C419" t="s">
        <v>426</v>
      </c>
      <c r="D419" t="s">
        <v>45</v>
      </c>
      <c r="E419" t="s">
        <v>18</v>
      </c>
      <c r="F419" t="s">
        <v>19</v>
      </c>
      <c r="G419" s="10">
        <v>1</v>
      </c>
      <c r="H419">
        <v>674.53</v>
      </c>
      <c r="I419" s="6">
        <v>0.15</v>
      </c>
      <c r="J419" s="8">
        <v>177.57</v>
      </c>
      <c r="K419" s="4" t="s">
        <v>32</v>
      </c>
      <c r="L419" t="s">
        <v>21</v>
      </c>
      <c r="M419">
        <f t="shared" si="18"/>
        <v>101.17949999999999</v>
      </c>
      <c r="N419" s="6">
        <f t="shared" si="19"/>
        <v>0.26324996664344064</v>
      </c>
      <c r="O419" s="6" t="str">
        <f t="shared" si="20"/>
        <v>Oct</v>
      </c>
    </row>
    <row r="420" spans="1:15">
      <c r="A420" t="s">
        <v>651</v>
      </c>
      <c r="B420" s="2">
        <v>45838</v>
      </c>
      <c r="C420" t="s">
        <v>652</v>
      </c>
      <c r="D420" t="s">
        <v>56</v>
      </c>
      <c r="E420" t="s">
        <v>40</v>
      </c>
      <c r="F420" t="s">
        <v>41</v>
      </c>
      <c r="G420" s="10">
        <v>2</v>
      </c>
      <c r="H420">
        <v>2331.9</v>
      </c>
      <c r="I420" s="6">
        <v>0.05</v>
      </c>
      <c r="J420" s="8">
        <v>375.05</v>
      </c>
      <c r="K420" s="4" t="s">
        <v>20</v>
      </c>
      <c r="L420" t="s">
        <v>21</v>
      </c>
      <c r="M420">
        <f t="shared" si="18"/>
        <v>116.59500000000001</v>
      </c>
      <c r="N420" s="6">
        <f t="shared" si="19"/>
        <v>0.16083451262918649</v>
      </c>
      <c r="O420" s="6" t="str">
        <f t="shared" si="20"/>
        <v>Jun</v>
      </c>
    </row>
    <row r="421" spans="1:15">
      <c r="A421" t="s">
        <v>653</v>
      </c>
      <c r="B421" s="2">
        <v>45998</v>
      </c>
      <c r="C421" t="s">
        <v>416</v>
      </c>
      <c r="D421" t="s">
        <v>72</v>
      </c>
      <c r="E421" t="s">
        <v>69</v>
      </c>
      <c r="F421" t="s">
        <v>70</v>
      </c>
      <c r="G421" s="10">
        <v>4</v>
      </c>
      <c r="H421">
        <v>150194.76</v>
      </c>
      <c r="I421" s="6">
        <v>0.05</v>
      </c>
      <c r="J421" s="8">
        <v>17565.349999999999</v>
      </c>
      <c r="K421" s="4" t="s">
        <v>42</v>
      </c>
      <c r="L421" t="s">
        <v>36</v>
      </c>
      <c r="M421">
        <f t="shared" si="18"/>
        <v>7509.7380000000012</v>
      </c>
      <c r="N421" s="6">
        <f t="shared" si="19"/>
        <v>0.11695048482383805</v>
      </c>
      <c r="O421" s="6" t="str">
        <f t="shared" si="20"/>
        <v>Dec</v>
      </c>
    </row>
    <row r="422" spans="1:15">
      <c r="A422" t="s">
        <v>654</v>
      </c>
      <c r="B422" s="2">
        <v>45856</v>
      </c>
      <c r="C422" t="s">
        <v>552</v>
      </c>
      <c r="D422" t="s">
        <v>17</v>
      </c>
      <c r="E422" t="s">
        <v>18</v>
      </c>
      <c r="F422" t="s">
        <v>19</v>
      </c>
      <c r="G422" s="10">
        <v>2</v>
      </c>
      <c r="H422">
        <v>4231.96</v>
      </c>
      <c r="I422" s="6">
        <v>0.15</v>
      </c>
      <c r="J422" s="8">
        <v>412.98</v>
      </c>
      <c r="K422" s="4" t="s">
        <v>27</v>
      </c>
      <c r="L422" t="s">
        <v>21</v>
      </c>
      <c r="M422">
        <f t="shared" si="18"/>
        <v>634.79399999999998</v>
      </c>
      <c r="N422" s="6">
        <f t="shared" si="19"/>
        <v>9.7585988525411393E-2</v>
      </c>
      <c r="O422" s="6" t="str">
        <f t="shared" si="20"/>
        <v>Jul</v>
      </c>
    </row>
    <row r="423" spans="1:15">
      <c r="A423" t="s">
        <v>655</v>
      </c>
      <c r="B423" s="2">
        <v>45852</v>
      </c>
      <c r="C423" t="s">
        <v>272</v>
      </c>
      <c r="D423" t="s">
        <v>56</v>
      </c>
      <c r="E423" t="s">
        <v>40</v>
      </c>
      <c r="F423" t="s">
        <v>26</v>
      </c>
      <c r="G423" s="10">
        <v>2</v>
      </c>
      <c r="H423">
        <v>3377.32</v>
      </c>
      <c r="I423" s="6">
        <v>0.25</v>
      </c>
      <c r="J423" s="8">
        <v>626.13</v>
      </c>
      <c r="K423" s="4" t="s">
        <v>42</v>
      </c>
      <c r="L423" t="s">
        <v>36</v>
      </c>
      <c r="M423">
        <f t="shared" si="18"/>
        <v>844.33</v>
      </c>
      <c r="N423" s="6">
        <f t="shared" si="19"/>
        <v>0.18539255978112823</v>
      </c>
      <c r="O423" s="6" t="str">
        <f t="shared" si="20"/>
        <v>Jul</v>
      </c>
    </row>
    <row r="424" spans="1:15">
      <c r="A424" t="s">
        <v>656</v>
      </c>
      <c r="B424" s="2">
        <v>45955</v>
      </c>
      <c r="C424" t="s">
        <v>190</v>
      </c>
      <c r="D424" t="s">
        <v>114</v>
      </c>
      <c r="E424" t="s">
        <v>69</v>
      </c>
      <c r="F424" t="s">
        <v>77</v>
      </c>
      <c r="G424" s="10">
        <v>1</v>
      </c>
      <c r="H424">
        <v>40946.199999999997</v>
      </c>
      <c r="I424" s="6">
        <v>0</v>
      </c>
      <c r="J424" s="8">
        <v>8739.91</v>
      </c>
      <c r="K424" s="4" t="s">
        <v>20</v>
      </c>
      <c r="L424" t="s">
        <v>21</v>
      </c>
      <c r="M424">
        <f t="shared" si="18"/>
        <v>0</v>
      </c>
      <c r="N424" s="6">
        <f t="shared" si="19"/>
        <v>0.2134486228270267</v>
      </c>
      <c r="O424" s="6" t="str">
        <f t="shared" si="20"/>
        <v>Oct</v>
      </c>
    </row>
    <row r="425" spans="1:15">
      <c r="A425" t="s">
        <v>657</v>
      </c>
      <c r="B425" s="2">
        <v>45940</v>
      </c>
      <c r="C425" t="s">
        <v>658</v>
      </c>
      <c r="D425" t="s">
        <v>45</v>
      </c>
      <c r="E425" t="s">
        <v>18</v>
      </c>
      <c r="F425" t="s">
        <v>41</v>
      </c>
      <c r="G425" s="10">
        <v>1</v>
      </c>
      <c r="H425">
        <v>3788.84</v>
      </c>
      <c r="I425" s="6">
        <v>0.05</v>
      </c>
      <c r="J425" s="8">
        <v>736.01</v>
      </c>
      <c r="K425" s="4" t="s">
        <v>42</v>
      </c>
      <c r="L425" t="s">
        <v>36</v>
      </c>
      <c r="M425">
        <f t="shared" si="18"/>
        <v>189.44200000000001</v>
      </c>
      <c r="N425" s="6">
        <f t="shared" si="19"/>
        <v>0.1942573452560678</v>
      </c>
      <c r="O425" s="6" t="str">
        <f t="shared" si="20"/>
        <v>Oct</v>
      </c>
    </row>
    <row r="426" spans="1:15">
      <c r="A426" t="s">
        <v>659</v>
      </c>
      <c r="B426" s="2">
        <v>45933</v>
      </c>
      <c r="C426" t="s">
        <v>414</v>
      </c>
      <c r="D426" t="s">
        <v>126</v>
      </c>
      <c r="E426" t="s">
        <v>76</v>
      </c>
      <c r="F426" t="s">
        <v>70</v>
      </c>
      <c r="G426" s="10">
        <v>4</v>
      </c>
      <c r="H426">
        <v>42383.18</v>
      </c>
      <c r="I426" s="6">
        <v>0.1</v>
      </c>
      <c r="J426" s="8">
        <v>8205.64</v>
      </c>
      <c r="K426" s="4" t="s">
        <v>27</v>
      </c>
      <c r="L426" t="s">
        <v>21</v>
      </c>
      <c r="M426">
        <f t="shared" si="18"/>
        <v>4238.3180000000002</v>
      </c>
      <c r="N426" s="6">
        <f t="shared" si="19"/>
        <v>0.19360604843713944</v>
      </c>
      <c r="O426" s="6" t="str">
        <f t="shared" si="20"/>
        <v>Oct</v>
      </c>
    </row>
    <row r="427" spans="1:15">
      <c r="A427" t="s">
        <v>660</v>
      </c>
      <c r="B427" s="2">
        <v>45669</v>
      </c>
      <c r="C427" t="s">
        <v>16</v>
      </c>
      <c r="D427" t="s">
        <v>124</v>
      </c>
      <c r="E427" t="s">
        <v>76</v>
      </c>
      <c r="F427" t="s">
        <v>77</v>
      </c>
      <c r="G427" s="10">
        <v>5</v>
      </c>
      <c r="H427">
        <v>35459.11</v>
      </c>
      <c r="I427" s="6">
        <v>0.2</v>
      </c>
      <c r="J427" s="8">
        <v>2514.77</v>
      </c>
      <c r="K427" s="4" t="s">
        <v>20</v>
      </c>
      <c r="L427" t="s">
        <v>21</v>
      </c>
      <c r="M427">
        <f t="shared" si="18"/>
        <v>7091.8220000000001</v>
      </c>
      <c r="N427" s="6">
        <f t="shared" si="19"/>
        <v>7.092027972501283E-2</v>
      </c>
      <c r="O427" s="6" t="str">
        <f t="shared" si="20"/>
        <v>Jan</v>
      </c>
    </row>
    <row r="428" spans="1:15">
      <c r="A428" t="s">
        <v>661</v>
      </c>
      <c r="B428" s="2">
        <v>45807</v>
      </c>
      <c r="C428" t="s">
        <v>194</v>
      </c>
      <c r="D428" t="s">
        <v>95</v>
      </c>
      <c r="E428" t="s">
        <v>76</v>
      </c>
      <c r="F428" t="s">
        <v>26</v>
      </c>
      <c r="G428" s="10">
        <v>4</v>
      </c>
      <c r="H428">
        <v>44628.23</v>
      </c>
      <c r="I428" s="6">
        <v>0.25</v>
      </c>
      <c r="J428" s="8">
        <v>7483.71</v>
      </c>
      <c r="K428" s="4" t="s">
        <v>65</v>
      </c>
      <c r="L428" t="s">
        <v>36</v>
      </c>
      <c r="M428">
        <f t="shared" si="18"/>
        <v>11157.057500000001</v>
      </c>
      <c r="N428" s="6">
        <f t="shared" si="19"/>
        <v>0.16769004730862055</v>
      </c>
      <c r="O428" s="6" t="str">
        <f t="shared" si="20"/>
        <v>May</v>
      </c>
    </row>
    <row r="429" spans="1:15">
      <c r="A429" t="s">
        <v>662</v>
      </c>
      <c r="B429" s="2">
        <v>45675</v>
      </c>
      <c r="C429" t="s">
        <v>228</v>
      </c>
      <c r="D429" t="s">
        <v>64</v>
      </c>
      <c r="E429" t="s">
        <v>40</v>
      </c>
      <c r="F429" t="s">
        <v>26</v>
      </c>
      <c r="G429" s="10">
        <v>3</v>
      </c>
      <c r="H429">
        <v>1969.63</v>
      </c>
      <c r="I429" s="6">
        <v>0.2</v>
      </c>
      <c r="J429" s="8">
        <v>258.25</v>
      </c>
      <c r="K429" s="4" t="s">
        <v>20</v>
      </c>
      <c r="L429" t="s">
        <v>21</v>
      </c>
      <c r="M429">
        <f t="shared" si="18"/>
        <v>393.92600000000004</v>
      </c>
      <c r="N429" s="6">
        <f t="shared" si="19"/>
        <v>0.13111599640541624</v>
      </c>
      <c r="O429" s="6" t="str">
        <f t="shared" si="20"/>
        <v>Jan</v>
      </c>
    </row>
    <row r="430" spans="1:15">
      <c r="A430" t="s">
        <v>663</v>
      </c>
      <c r="B430" s="2">
        <v>45799</v>
      </c>
      <c r="C430" t="s">
        <v>400</v>
      </c>
      <c r="D430" t="s">
        <v>30</v>
      </c>
      <c r="E430" t="s">
        <v>18</v>
      </c>
      <c r="F430" t="s">
        <v>26</v>
      </c>
      <c r="G430" s="10">
        <v>5</v>
      </c>
      <c r="H430">
        <v>6385.1</v>
      </c>
      <c r="I430" s="6">
        <v>0.15</v>
      </c>
      <c r="J430" s="8">
        <v>1691.47</v>
      </c>
      <c r="K430" s="4" t="s">
        <v>27</v>
      </c>
      <c r="L430" t="s">
        <v>36</v>
      </c>
      <c r="M430">
        <f t="shared" si="18"/>
        <v>957.76499999999999</v>
      </c>
      <c r="N430" s="6">
        <f t="shared" si="19"/>
        <v>0.26490892859939547</v>
      </c>
      <c r="O430" s="6" t="str">
        <f t="shared" si="20"/>
        <v>May</v>
      </c>
    </row>
    <row r="431" spans="1:15">
      <c r="A431" t="s">
        <v>664</v>
      </c>
      <c r="B431" s="2">
        <v>45761</v>
      </c>
      <c r="C431" t="s">
        <v>400</v>
      </c>
      <c r="D431" t="s">
        <v>87</v>
      </c>
      <c r="E431" t="s">
        <v>25</v>
      </c>
      <c r="F431" t="s">
        <v>41</v>
      </c>
      <c r="G431" s="10">
        <v>3</v>
      </c>
      <c r="H431">
        <v>4601.55</v>
      </c>
      <c r="I431" s="6">
        <v>0.1</v>
      </c>
      <c r="J431" s="8">
        <v>237.08</v>
      </c>
      <c r="K431" s="4" t="s">
        <v>42</v>
      </c>
      <c r="L431" t="s">
        <v>36</v>
      </c>
      <c r="M431">
        <f t="shared" si="18"/>
        <v>460.15500000000003</v>
      </c>
      <c r="N431" s="6">
        <f t="shared" si="19"/>
        <v>5.1521769838424013E-2</v>
      </c>
      <c r="O431" s="6" t="str">
        <f t="shared" si="20"/>
        <v>Apr</v>
      </c>
    </row>
    <row r="432" spans="1:15">
      <c r="A432" t="s">
        <v>665</v>
      </c>
      <c r="B432" s="2">
        <v>45790</v>
      </c>
      <c r="C432" t="s">
        <v>342</v>
      </c>
      <c r="D432" t="s">
        <v>56</v>
      </c>
      <c r="E432" t="s">
        <v>40</v>
      </c>
      <c r="F432" t="s">
        <v>107</v>
      </c>
      <c r="G432" s="10">
        <v>1</v>
      </c>
      <c r="H432">
        <v>1494.5</v>
      </c>
      <c r="I432" s="6">
        <v>0</v>
      </c>
      <c r="J432" s="8">
        <v>206</v>
      </c>
      <c r="K432" s="4" t="s">
        <v>42</v>
      </c>
      <c r="L432" t="s">
        <v>36</v>
      </c>
      <c r="M432">
        <f t="shared" si="18"/>
        <v>0</v>
      </c>
      <c r="N432" s="6">
        <f t="shared" si="19"/>
        <v>0.13783874205419872</v>
      </c>
      <c r="O432" s="6" t="str">
        <f t="shared" si="20"/>
        <v>May</v>
      </c>
    </row>
    <row r="433" spans="1:15">
      <c r="A433" t="s">
        <v>666</v>
      </c>
      <c r="B433" s="2">
        <v>46000</v>
      </c>
      <c r="C433" t="s">
        <v>55</v>
      </c>
      <c r="D433" t="s">
        <v>90</v>
      </c>
      <c r="E433" t="s">
        <v>69</v>
      </c>
      <c r="F433" t="s">
        <v>35</v>
      </c>
      <c r="G433" s="10">
        <v>3</v>
      </c>
      <c r="H433">
        <v>121653.47</v>
      </c>
      <c r="I433" s="6">
        <v>0.25</v>
      </c>
      <c r="J433" s="8">
        <v>19030</v>
      </c>
      <c r="K433" s="4" t="s">
        <v>32</v>
      </c>
      <c r="L433" t="s">
        <v>21</v>
      </c>
      <c r="M433">
        <f t="shared" si="18"/>
        <v>30413.3675</v>
      </c>
      <c r="N433" s="6">
        <f t="shared" si="19"/>
        <v>0.15642792597695734</v>
      </c>
      <c r="O433" s="6" t="str">
        <f t="shared" si="20"/>
        <v>Dec</v>
      </c>
    </row>
    <row r="434" spans="1:15">
      <c r="A434" t="s">
        <v>667</v>
      </c>
      <c r="B434" s="2">
        <v>45715</v>
      </c>
      <c r="C434" t="s">
        <v>668</v>
      </c>
      <c r="D434" t="s">
        <v>58</v>
      </c>
      <c r="E434" t="s">
        <v>25</v>
      </c>
      <c r="F434" t="s">
        <v>19</v>
      </c>
      <c r="G434" s="10">
        <v>5</v>
      </c>
      <c r="H434">
        <v>8684.98</v>
      </c>
      <c r="I434" s="6">
        <v>0</v>
      </c>
      <c r="J434" s="8">
        <v>1330.59</v>
      </c>
      <c r="K434" s="4" t="s">
        <v>20</v>
      </c>
      <c r="L434" t="s">
        <v>21</v>
      </c>
      <c r="M434">
        <f t="shared" si="18"/>
        <v>0</v>
      </c>
      <c r="N434" s="6">
        <f t="shared" si="19"/>
        <v>0.15320587957600362</v>
      </c>
      <c r="O434" s="6" t="str">
        <f t="shared" si="20"/>
        <v>Feb</v>
      </c>
    </row>
    <row r="435" spans="1:15">
      <c r="A435" t="s">
        <v>669</v>
      </c>
      <c r="B435" s="2">
        <v>45820</v>
      </c>
      <c r="C435" t="s">
        <v>102</v>
      </c>
      <c r="D435" t="s">
        <v>72</v>
      </c>
      <c r="E435" t="s">
        <v>69</v>
      </c>
      <c r="F435" t="s">
        <v>31</v>
      </c>
      <c r="G435" s="10">
        <v>5</v>
      </c>
      <c r="H435">
        <v>161241.68</v>
      </c>
      <c r="I435" s="6">
        <v>0.15</v>
      </c>
      <c r="J435" s="8">
        <v>31556.880000000001</v>
      </c>
      <c r="K435" s="4" t="s">
        <v>42</v>
      </c>
      <c r="L435" t="s">
        <v>21</v>
      </c>
      <c r="M435">
        <f t="shared" si="18"/>
        <v>24186.251999999997</v>
      </c>
      <c r="N435" s="6">
        <f t="shared" si="19"/>
        <v>0.1957116795111537</v>
      </c>
      <c r="O435" s="6" t="str">
        <f t="shared" si="20"/>
        <v>Jun</v>
      </c>
    </row>
    <row r="436" spans="1:15">
      <c r="A436" t="s">
        <v>670</v>
      </c>
      <c r="B436" s="2">
        <v>45828</v>
      </c>
      <c r="C436" t="s">
        <v>109</v>
      </c>
      <c r="D436" t="s">
        <v>53</v>
      </c>
      <c r="E436" t="s">
        <v>25</v>
      </c>
      <c r="F436" t="s">
        <v>107</v>
      </c>
      <c r="G436" s="10">
        <v>5</v>
      </c>
      <c r="H436">
        <v>17331.990000000002</v>
      </c>
      <c r="I436" s="6">
        <v>0</v>
      </c>
      <c r="J436" s="8">
        <v>2164.38</v>
      </c>
      <c r="K436" s="4" t="s">
        <v>20</v>
      </c>
      <c r="L436" t="s">
        <v>21</v>
      </c>
      <c r="M436">
        <f t="shared" si="18"/>
        <v>0</v>
      </c>
      <c r="N436" s="6">
        <f t="shared" si="19"/>
        <v>0.12487775494908547</v>
      </c>
      <c r="O436" s="6" t="str">
        <f t="shared" si="20"/>
        <v>Jun</v>
      </c>
    </row>
    <row r="437" spans="1:15">
      <c r="A437" t="s">
        <v>671</v>
      </c>
      <c r="B437" s="2">
        <v>45955</v>
      </c>
      <c r="C437" t="s">
        <v>200</v>
      </c>
      <c r="D437" t="s">
        <v>87</v>
      </c>
      <c r="E437" t="s">
        <v>25</v>
      </c>
      <c r="F437" t="s">
        <v>41</v>
      </c>
      <c r="G437" s="10">
        <v>2</v>
      </c>
      <c r="H437">
        <v>1534.84</v>
      </c>
      <c r="I437" s="6">
        <v>0.05</v>
      </c>
      <c r="J437" s="8">
        <v>206.38</v>
      </c>
      <c r="K437" s="4" t="s">
        <v>42</v>
      </c>
      <c r="L437" t="s">
        <v>21</v>
      </c>
      <c r="M437">
        <f t="shared" si="18"/>
        <v>76.742000000000004</v>
      </c>
      <c r="N437" s="6">
        <f t="shared" si="19"/>
        <v>0.13446352714289439</v>
      </c>
      <c r="O437" s="6" t="str">
        <f t="shared" si="20"/>
        <v>Oct</v>
      </c>
    </row>
    <row r="438" spans="1:15">
      <c r="A438" t="s">
        <v>672</v>
      </c>
      <c r="B438" s="2">
        <v>45924</v>
      </c>
      <c r="C438" t="s">
        <v>673</v>
      </c>
      <c r="D438" t="s">
        <v>87</v>
      </c>
      <c r="E438" t="s">
        <v>25</v>
      </c>
      <c r="F438" t="s">
        <v>19</v>
      </c>
      <c r="G438" s="10">
        <v>2</v>
      </c>
      <c r="H438">
        <v>3041.33</v>
      </c>
      <c r="I438" s="6">
        <v>0.1</v>
      </c>
      <c r="J438" s="8">
        <v>210.53</v>
      </c>
      <c r="K438" s="4" t="s">
        <v>42</v>
      </c>
      <c r="L438" t="s">
        <v>36</v>
      </c>
      <c r="M438">
        <f t="shared" si="18"/>
        <v>304.13299999999998</v>
      </c>
      <c r="N438" s="6">
        <f t="shared" si="19"/>
        <v>6.9223004409255162E-2</v>
      </c>
      <c r="O438" s="6" t="str">
        <f t="shared" si="20"/>
        <v>Sep</v>
      </c>
    </row>
    <row r="439" spans="1:15">
      <c r="A439" t="s">
        <v>674</v>
      </c>
      <c r="B439" s="2">
        <v>46012</v>
      </c>
      <c r="C439" t="s">
        <v>143</v>
      </c>
      <c r="D439" t="s">
        <v>250</v>
      </c>
      <c r="E439" t="s">
        <v>76</v>
      </c>
      <c r="F439" t="s">
        <v>26</v>
      </c>
      <c r="G439" s="10">
        <v>3</v>
      </c>
      <c r="H439">
        <v>6662.2</v>
      </c>
      <c r="I439" s="6">
        <v>0.1</v>
      </c>
      <c r="J439" s="8">
        <v>1597.86</v>
      </c>
      <c r="K439" s="4" t="s">
        <v>27</v>
      </c>
      <c r="L439" t="s">
        <v>21</v>
      </c>
      <c r="M439">
        <f t="shared" si="18"/>
        <v>666.22</v>
      </c>
      <c r="N439" s="6">
        <f t="shared" si="19"/>
        <v>0.23983969259403801</v>
      </c>
      <c r="O439" s="6" t="str">
        <f t="shared" si="20"/>
        <v>Dec</v>
      </c>
    </row>
    <row r="440" spans="1:15">
      <c r="A440" t="s">
        <v>675</v>
      </c>
      <c r="B440" s="2">
        <v>45774</v>
      </c>
      <c r="C440" t="s">
        <v>458</v>
      </c>
      <c r="D440" t="s">
        <v>84</v>
      </c>
      <c r="E440" t="s">
        <v>18</v>
      </c>
      <c r="F440" t="s">
        <v>77</v>
      </c>
      <c r="G440" s="10">
        <v>5</v>
      </c>
      <c r="H440">
        <v>1397.75</v>
      </c>
      <c r="I440" s="6">
        <v>0</v>
      </c>
      <c r="J440" s="8">
        <v>365.11</v>
      </c>
      <c r="K440" s="4" t="s">
        <v>65</v>
      </c>
      <c r="L440" t="s">
        <v>21</v>
      </c>
      <c r="M440">
        <f t="shared" si="18"/>
        <v>0</v>
      </c>
      <c r="N440" s="6">
        <f t="shared" si="19"/>
        <v>0.26121266320872832</v>
      </c>
      <c r="O440" s="6" t="str">
        <f t="shared" si="20"/>
        <v>Apr</v>
      </c>
    </row>
    <row r="441" spans="1:15">
      <c r="A441" t="s">
        <v>676</v>
      </c>
      <c r="B441" s="2">
        <v>45664</v>
      </c>
      <c r="C441" t="s">
        <v>29</v>
      </c>
      <c r="D441" t="s">
        <v>84</v>
      </c>
      <c r="E441" t="s">
        <v>18</v>
      </c>
      <c r="F441" t="s">
        <v>35</v>
      </c>
      <c r="G441" s="10">
        <v>2</v>
      </c>
      <c r="H441">
        <v>2649.99</v>
      </c>
      <c r="I441" s="6">
        <v>0.25</v>
      </c>
      <c r="J441" s="8">
        <v>449.18</v>
      </c>
      <c r="K441" s="4" t="s">
        <v>42</v>
      </c>
      <c r="L441" t="s">
        <v>21</v>
      </c>
      <c r="M441">
        <f t="shared" si="18"/>
        <v>662.49749999999995</v>
      </c>
      <c r="N441" s="6">
        <f t="shared" si="19"/>
        <v>0.16950252642462804</v>
      </c>
      <c r="O441" s="6" t="str">
        <f t="shared" si="20"/>
        <v>Jan</v>
      </c>
    </row>
    <row r="442" spans="1:15">
      <c r="A442" t="s">
        <v>677</v>
      </c>
      <c r="B442" s="2">
        <v>45711</v>
      </c>
      <c r="C442" t="s">
        <v>678</v>
      </c>
      <c r="D442" t="s">
        <v>191</v>
      </c>
      <c r="E442" t="s">
        <v>69</v>
      </c>
      <c r="F442" t="s">
        <v>26</v>
      </c>
      <c r="G442" s="10">
        <v>5</v>
      </c>
      <c r="H442">
        <v>95979.44</v>
      </c>
      <c r="I442" s="6">
        <v>0.15</v>
      </c>
      <c r="J442" s="8">
        <v>10950.04</v>
      </c>
      <c r="K442" s="4" t="s">
        <v>65</v>
      </c>
      <c r="L442" t="s">
        <v>36</v>
      </c>
      <c r="M442">
        <f t="shared" si="18"/>
        <v>14396.915999999999</v>
      </c>
      <c r="N442" s="6">
        <f t="shared" si="19"/>
        <v>0.11408735037420514</v>
      </c>
      <c r="O442" s="6" t="str">
        <f t="shared" si="20"/>
        <v>Feb</v>
      </c>
    </row>
    <row r="443" spans="1:15">
      <c r="A443" t="s">
        <v>679</v>
      </c>
      <c r="B443" s="2">
        <v>45736</v>
      </c>
      <c r="C443" t="s">
        <v>109</v>
      </c>
      <c r="D443" t="s">
        <v>17</v>
      </c>
      <c r="E443" t="s">
        <v>18</v>
      </c>
      <c r="F443" t="s">
        <v>77</v>
      </c>
      <c r="G443" s="10">
        <v>1</v>
      </c>
      <c r="H443">
        <v>1687.52</v>
      </c>
      <c r="I443" s="6">
        <v>0.05</v>
      </c>
      <c r="J443" s="8">
        <v>321.33</v>
      </c>
      <c r="K443" s="4" t="s">
        <v>42</v>
      </c>
      <c r="L443" t="s">
        <v>21</v>
      </c>
      <c r="M443">
        <f t="shared" si="18"/>
        <v>84.376000000000005</v>
      </c>
      <c r="N443" s="6">
        <f t="shared" si="19"/>
        <v>0.19041552100123257</v>
      </c>
      <c r="O443" s="6" t="str">
        <f t="shared" si="20"/>
        <v>Mar</v>
      </c>
    </row>
    <row r="444" spans="1:15">
      <c r="A444" t="s">
        <v>680</v>
      </c>
      <c r="B444" s="2">
        <v>45935</v>
      </c>
      <c r="C444" t="s">
        <v>226</v>
      </c>
      <c r="D444" t="s">
        <v>191</v>
      </c>
      <c r="E444" t="s">
        <v>69</v>
      </c>
      <c r="F444" t="s">
        <v>19</v>
      </c>
      <c r="G444" s="10">
        <v>1</v>
      </c>
      <c r="H444">
        <v>62083.13</v>
      </c>
      <c r="I444" s="6">
        <v>0</v>
      </c>
      <c r="J444" s="8">
        <v>6780.42</v>
      </c>
      <c r="K444" s="4" t="s">
        <v>20</v>
      </c>
      <c r="L444" t="s">
        <v>36</v>
      </c>
      <c r="M444">
        <f t="shared" si="18"/>
        <v>0</v>
      </c>
      <c r="N444" s="6">
        <f t="shared" si="19"/>
        <v>0.10921517648997402</v>
      </c>
      <c r="O444" s="6" t="str">
        <f t="shared" si="20"/>
        <v>Oct</v>
      </c>
    </row>
    <row r="445" spans="1:15">
      <c r="A445" t="s">
        <v>681</v>
      </c>
      <c r="B445" s="2">
        <v>45658</v>
      </c>
      <c r="C445" t="s">
        <v>155</v>
      </c>
      <c r="D445" t="s">
        <v>87</v>
      </c>
      <c r="E445" t="s">
        <v>25</v>
      </c>
      <c r="F445" t="s">
        <v>77</v>
      </c>
      <c r="G445" s="10">
        <v>4</v>
      </c>
      <c r="H445">
        <v>8136.52</v>
      </c>
      <c r="I445" s="6">
        <v>0.05</v>
      </c>
      <c r="J445" s="8">
        <v>517.32000000000005</v>
      </c>
      <c r="K445" s="4" t="s">
        <v>27</v>
      </c>
      <c r="L445" t="s">
        <v>36</v>
      </c>
      <c r="M445">
        <f t="shared" si="18"/>
        <v>406.82600000000002</v>
      </c>
      <c r="N445" s="6">
        <f t="shared" si="19"/>
        <v>6.3580007177515691E-2</v>
      </c>
      <c r="O445" s="6" t="str">
        <f t="shared" si="20"/>
        <v>Jan</v>
      </c>
    </row>
    <row r="446" spans="1:15">
      <c r="A446" t="s">
        <v>682</v>
      </c>
      <c r="B446" s="2">
        <v>45948</v>
      </c>
      <c r="C446" t="s">
        <v>434</v>
      </c>
      <c r="D446" t="s">
        <v>126</v>
      </c>
      <c r="E446" t="s">
        <v>76</v>
      </c>
      <c r="F446" t="s">
        <v>70</v>
      </c>
      <c r="G446" s="10">
        <v>5</v>
      </c>
      <c r="H446">
        <v>17793.849999999999</v>
      </c>
      <c r="I446" s="6">
        <v>0.15</v>
      </c>
      <c r="J446" s="8">
        <v>3482.08</v>
      </c>
      <c r="K446" s="4" t="s">
        <v>65</v>
      </c>
      <c r="L446" t="s">
        <v>21</v>
      </c>
      <c r="M446">
        <f t="shared" si="18"/>
        <v>2669.0774999999999</v>
      </c>
      <c r="N446" s="6">
        <f t="shared" si="19"/>
        <v>0.19569008393349388</v>
      </c>
      <c r="O446" s="6" t="str">
        <f t="shared" si="20"/>
        <v>Oct</v>
      </c>
    </row>
    <row r="447" spans="1:15">
      <c r="A447" t="s">
        <v>683</v>
      </c>
      <c r="B447" s="2">
        <v>46012</v>
      </c>
      <c r="C447" t="s">
        <v>684</v>
      </c>
      <c r="D447" t="s">
        <v>17</v>
      </c>
      <c r="E447" t="s">
        <v>18</v>
      </c>
      <c r="F447" t="s">
        <v>77</v>
      </c>
      <c r="G447" s="10">
        <v>3</v>
      </c>
      <c r="H447">
        <v>4703.5600000000004</v>
      </c>
      <c r="I447" s="6">
        <v>0.15</v>
      </c>
      <c r="J447" s="8">
        <v>913.53</v>
      </c>
      <c r="K447" s="4" t="s">
        <v>27</v>
      </c>
      <c r="L447" t="s">
        <v>21</v>
      </c>
      <c r="M447">
        <f t="shared" si="18"/>
        <v>705.53399999999999</v>
      </c>
      <c r="N447" s="6">
        <f t="shared" si="19"/>
        <v>0.19422097305020025</v>
      </c>
      <c r="O447" s="6" t="str">
        <f t="shared" si="20"/>
        <v>Dec</v>
      </c>
    </row>
    <row r="448" spans="1:15">
      <c r="A448" t="s">
        <v>685</v>
      </c>
      <c r="B448" s="2">
        <v>45815</v>
      </c>
      <c r="C448" t="s">
        <v>640</v>
      </c>
      <c r="D448" t="s">
        <v>90</v>
      </c>
      <c r="E448" t="s">
        <v>69</v>
      </c>
      <c r="F448" t="s">
        <v>107</v>
      </c>
      <c r="G448" s="10">
        <v>3</v>
      </c>
      <c r="H448">
        <v>131601.69</v>
      </c>
      <c r="I448" s="6">
        <v>0.15</v>
      </c>
      <c r="J448" s="8">
        <v>30395.37</v>
      </c>
      <c r="K448" s="4" t="s">
        <v>20</v>
      </c>
      <c r="L448" t="s">
        <v>36</v>
      </c>
      <c r="M448">
        <f t="shared" si="18"/>
        <v>19740.253499999999</v>
      </c>
      <c r="N448" s="6">
        <f t="shared" si="19"/>
        <v>0.23096489110436194</v>
      </c>
      <c r="O448" s="6" t="str">
        <f t="shared" si="20"/>
        <v>Jun</v>
      </c>
    </row>
    <row r="449" spans="1:15">
      <c r="A449" t="s">
        <v>686</v>
      </c>
      <c r="B449" s="2">
        <v>45747</v>
      </c>
      <c r="C449" t="s">
        <v>400</v>
      </c>
      <c r="D449" t="s">
        <v>95</v>
      </c>
      <c r="E449" t="s">
        <v>76</v>
      </c>
      <c r="F449" t="s">
        <v>107</v>
      </c>
      <c r="G449" s="10">
        <v>5</v>
      </c>
      <c r="H449">
        <v>26413.63</v>
      </c>
      <c r="I449" s="6">
        <v>0.15</v>
      </c>
      <c r="J449" s="8">
        <v>1918.84</v>
      </c>
      <c r="K449" s="4" t="s">
        <v>27</v>
      </c>
      <c r="L449" t="s">
        <v>21</v>
      </c>
      <c r="M449">
        <f t="shared" si="18"/>
        <v>3962.0445</v>
      </c>
      <c r="N449" s="6">
        <f t="shared" si="19"/>
        <v>7.264582717331923E-2</v>
      </c>
      <c r="O449" s="6" t="str">
        <f t="shared" si="20"/>
        <v>Mar</v>
      </c>
    </row>
    <row r="450" spans="1:15">
      <c r="A450" t="s">
        <v>687</v>
      </c>
      <c r="B450" s="2">
        <v>45690</v>
      </c>
      <c r="C450" t="s">
        <v>252</v>
      </c>
      <c r="D450" t="s">
        <v>50</v>
      </c>
      <c r="E450" t="s">
        <v>40</v>
      </c>
      <c r="F450" t="s">
        <v>77</v>
      </c>
      <c r="G450" s="10">
        <v>2</v>
      </c>
      <c r="H450">
        <v>3107.65</v>
      </c>
      <c r="I450" s="6">
        <v>0.25</v>
      </c>
      <c r="J450" s="8">
        <v>628.59</v>
      </c>
      <c r="K450" s="4" t="s">
        <v>20</v>
      </c>
      <c r="L450" t="s">
        <v>36</v>
      </c>
      <c r="M450">
        <f t="shared" si="18"/>
        <v>776.91250000000002</v>
      </c>
      <c r="N450" s="6">
        <f t="shared" si="19"/>
        <v>0.20227181310636655</v>
      </c>
      <c r="O450" s="6" t="str">
        <f t="shared" si="20"/>
        <v>Feb</v>
      </c>
    </row>
    <row r="451" spans="1:15">
      <c r="A451" t="s">
        <v>688</v>
      </c>
      <c r="B451" s="2">
        <v>45774</v>
      </c>
      <c r="C451" t="s">
        <v>47</v>
      </c>
      <c r="D451" t="s">
        <v>50</v>
      </c>
      <c r="E451" t="s">
        <v>40</v>
      </c>
      <c r="F451" t="s">
        <v>31</v>
      </c>
      <c r="G451" s="10">
        <v>2</v>
      </c>
      <c r="H451">
        <v>2718.24</v>
      </c>
      <c r="I451" s="6">
        <v>0.2</v>
      </c>
      <c r="J451" s="8">
        <v>273.27999999999997</v>
      </c>
      <c r="K451" s="4" t="s">
        <v>32</v>
      </c>
      <c r="L451" t="s">
        <v>21</v>
      </c>
      <c r="M451">
        <f t="shared" ref="M451:M514" si="21">H451*I451</f>
        <v>543.64800000000002</v>
      </c>
      <c r="N451" s="6">
        <f t="shared" ref="N451:N514" si="22">IFERROR(J451/H451,0)</f>
        <v>0.10053564070869386</v>
      </c>
      <c r="O451" s="6" t="str">
        <f t="shared" ref="O451:O514" si="23">TEXT(B451,"mmm")</f>
        <v>Apr</v>
      </c>
    </row>
    <row r="452" spans="1:15">
      <c r="A452" t="s">
        <v>689</v>
      </c>
      <c r="B452" s="2">
        <v>46021</v>
      </c>
      <c r="C452" t="s">
        <v>155</v>
      </c>
      <c r="D452" t="s">
        <v>39</v>
      </c>
      <c r="E452" t="s">
        <v>40</v>
      </c>
      <c r="F452" t="s">
        <v>41</v>
      </c>
      <c r="G452" s="10">
        <v>3</v>
      </c>
      <c r="H452">
        <v>1871.09</v>
      </c>
      <c r="I452" s="6">
        <v>0.1</v>
      </c>
      <c r="J452" s="8">
        <v>445.83</v>
      </c>
      <c r="K452" s="4" t="s">
        <v>27</v>
      </c>
      <c r="L452" t="s">
        <v>21</v>
      </c>
      <c r="M452">
        <f t="shared" si="21"/>
        <v>187.10900000000001</v>
      </c>
      <c r="N452" s="6">
        <f t="shared" si="22"/>
        <v>0.23827287837570615</v>
      </c>
      <c r="O452" s="6" t="str">
        <f t="shared" si="23"/>
        <v>Dec</v>
      </c>
    </row>
    <row r="453" spans="1:15">
      <c r="A453" t="s">
        <v>690</v>
      </c>
      <c r="B453" s="2">
        <v>45791</v>
      </c>
      <c r="C453" t="s">
        <v>668</v>
      </c>
      <c r="D453" t="s">
        <v>250</v>
      </c>
      <c r="E453" t="s">
        <v>76</v>
      </c>
      <c r="F453" t="s">
        <v>31</v>
      </c>
      <c r="G453" s="10">
        <v>2</v>
      </c>
      <c r="H453">
        <v>23747.759999999998</v>
      </c>
      <c r="I453" s="6">
        <v>0</v>
      </c>
      <c r="J453" s="8">
        <v>1740.92</v>
      </c>
      <c r="K453" s="4" t="s">
        <v>42</v>
      </c>
      <c r="L453" t="s">
        <v>21</v>
      </c>
      <c r="M453">
        <f t="shared" si="21"/>
        <v>0</v>
      </c>
      <c r="N453" s="6">
        <f t="shared" si="22"/>
        <v>7.3308808915030305E-2</v>
      </c>
      <c r="O453" s="6" t="str">
        <f t="shared" si="23"/>
        <v>May</v>
      </c>
    </row>
    <row r="454" spans="1:15">
      <c r="A454" t="s">
        <v>691</v>
      </c>
      <c r="B454" s="2">
        <v>45807</v>
      </c>
      <c r="C454" t="s">
        <v>332</v>
      </c>
      <c r="D454" t="s">
        <v>58</v>
      </c>
      <c r="E454" t="s">
        <v>25</v>
      </c>
      <c r="F454" t="s">
        <v>70</v>
      </c>
      <c r="G454" s="10">
        <v>5</v>
      </c>
      <c r="H454">
        <v>14917.32</v>
      </c>
      <c r="I454" s="6">
        <v>0.05</v>
      </c>
      <c r="J454" s="8">
        <v>1623.76</v>
      </c>
      <c r="K454" s="4" t="s">
        <v>27</v>
      </c>
      <c r="L454" t="s">
        <v>36</v>
      </c>
      <c r="M454">
        <f t="shared" si="21"/>
        <v>745.86599999999999</v>
      </c>
      <c r="N454" s="6">
        <f t="shared" si="22"/>
        <v>0.10885065145750041</v>
      </c>
      <c r="O454" s="6" t="str">
        <f t="shared" si="23"/>
        <v>May</v>
      </c>
    </row>
    <row r="455" spans="1:15">
      <c r="A455" t="s">
        <v>692</v>
      </c>
      <c r="B455" s="2">
        <v>45996</v>
      </c>
      <c r="C455" t="s">
        <v>137</v>
      </c>
      <c r="D455" t="s">
        <v>56</v>
      </c>
      <c r="E455" t="s">
        <v>40</v>
      </c>
      <c r="F455" t="s">
        <v>107</v>
      </c>
      <c r="G455" s="10">
        <v>2</v>
      </c>
      <c r="H455">
        <v>1269.29</v>
      </c>
      <c r="I455" s="6">
        <v>0.1</v>
      </c>
      <c r="J455" s="8">
        <v>95.63</v>
      </c>
      <c r="K455" s="4" t="s">
        <v>20</v>
      </c>
      <c r="L455" t="s">
        <v>21</v>
      </c>
      <c r="M455">
        <f t="shared" si="21"/>
        <v>126.929</v>
      </c>
      <c r="N455" s="6">
        <f t="shared" si="22"/>
        <v>7.5341332555995871E-2</v>
      </c>
      <c r="O455" s="6" t="str">
        <f t="shared" si="23"/>
        <v>Dec</v>
      </c>
    </row>
    <row r="456" spans="1:15">
      <c r="A456" t="s">
        <v>693</v>
      </c>
      <c r="B456" s="2">
        <v>45836</v>
      </c>
      <c r="C456" t="s">
        <v>281</v>
      </c>
      <c r="D456" t="s">
        <v>250</v>
      </c>
      <c r="E456" t="s">
        <v>76</v>
      </c>
      <c r="F456" t="s">
        <v>77</v>
      </c>
      <c r="G456" s="10">
        <v>5</v>
      </c>
      <c r="H456">
        <v>3496.94</v>
      </c>
      <c r="I456" s="6">
        <v>0.2</v>
      </c>
      <c r="J456" s="8">
        <v>1016.68</v>
      </c>
      <c r="K456" s="4" t="s">
        <v>20</v>
      </c>
      <c r="L456" t="s">
        <v>36</v>
      </c>
      <c r="M456">
        <f t="shared" si="21"/>
        <v>699.38800000000003</v>
      </c>
      <c r="N456" s="6">
        <f t="shared" si="22"/>
        <v>0.29073418474437651</v>
      </c>
      <c r="O456" s="6" t="str">
        <f t="shared" si="23"/>
        <v>Jun</v>
      </c>
    </row>
    <row r="457" spans="1:15">
      <c r="A457" t="s">
        <v>694</v>
      </c>
      <c r="B457" s="2">
        <v>45770</v>
      </c>
      <c r="C457" t="s">
        <v>120</v>
      </c>
      <c r="D457" t="s">
        <v>126</v>
      </c>
      <c r="E457" t="s">
        <v>76</v>
      </c>
      <c r="F457" t="s">
        <v>19</v>
      </c>
      <c r="G457" s="10">
        <v>5</v>
      </c>
      <c r="H457">
        <v>33450.93</v>
      </c>
      <c r="I457" s="6">
        <v>0.05</v>
      </c>
      <c r="J457" s="8">
        <v>8510.82</v>
      </c>
      <c r="K457" s="4" t="s">
        <v>65</v>
      </c>
      <c r="L457" t="s">
        <v>36</v>
      </c>
      <c r="M457">
        <f t="shared" si="21"/>
        <v>1672.5465000000002</v>
      </c>
      <c r="N457" s="6">
        <f t="shared" si="22"/>
        <v>0.25442700696213827</v>
      </c>
      <c r="O457" s="6" t="str">
        <f t="shared" si="23"/>
        <v>Apr</v>
      </c>
    </row>
    <row r="458" spans="1:15">
      <c r="A458" t="s">
        <v>695</v>
      </c>
      <c r="B458" s="2">
        <v>45811</v>
      </c>
      <c r="C458" t="s">
        <v>102</v>
      </c>
      <c r="D458" t="s">
        <v>30</v>
      </c>
      <c r="E458" t="s">
        <v>18</v>
      </c>
      <c r="F458" t="s">
        <v>41</v>
      </c>
      <c r="G458" s="10">
        <v>1</v>
      </c>
      <c r="H458">
        <v>747.98</v>
      </c>
      <c r="I458" s="6">
        <v>0.1</v>
      </c>
      <c r="J458" s="8">
        <v>151.69999999999999</v>
      </c>
      <c r="K458" s="4" t="s">
        <v>27</v>
      </c>
      <c r="L458" t="s">
        <v>21</v>
      </c>
      <c r="M458">
        <f t="shared" si="21"/>
        <v>74.798000000000002</v>
      </c>
      <c r="N458" s="6">
        <f t="shared" si="22"/>
        <v>0.20281290943608116</v>
      </c>
      <c r="O458" s="6" t="str">
        <f t="shared" si="23"/>
        <v>Jun</v>
      </c>
    </row>
    <row r="459" spans="1:15">
      <c r="A459" t="s">
        <v>696</v>
      </c>
      <c r="B459" s="2">
        <v>45972</v>
      </c>
      <c r="C459" t="s">
        <v>247</v>
      </c>
      <c r="D459" t="s">
        <v>87</v>
      </c>
      <c r="E459" t="s">
        <v>25</v>
      </c>
      <c r="F459" t="s">
        <v>31</v>
      </c>
      <c r="G459" s="10">
        <v>4</v>
      </c>
      <c r="H459">
        <v>3734.56</v>
      </c>
      <c r="I459" s="6">
        <v>0.15</v>
      </c>
      <c r="J459" s="8">
        <v>764.72</v>
      </c>
      <c r="K459" s="4" t="s">
        <v>65</v>
      </c>
      <c r="L459" t="s">
        <v>21</v>
      </c>
      <c r="M459">
        <f t="shared" si="21"/>
        <v>560.18399999999997</v>
      </c>
      <c r="N459" s="6">
        <f t="shared" si="22"/>
        <v>0.20476843322908189</v>
      </c>
      <c r="O459" s="6" t="str">
        <f t="shared" si="23"/>
        <v>Nov</v>
      </c>
    </row>
    <row r="460" spans="1:15">
      <c r="A460" t="s">
        <v>697</v>
      </c>
      <c r="B460" s="2">
        <v>45959</v>
      </c>
      <c r="C460" t="s">
        <v>276</v>
      </c>
      <c r="D460" t="s">
        <v>217</v>
      </c>
      <c r="E460" t="s">
        <v>18</v>
      </c>
      <c r="F460" t="s">
        <v>19</v>
      </c>
      <c r="G460" s="10">
        <v>1</v>
      </c>
      <c r="H460">
        <v>516.61</v>
      </c>
      <c r="I460" s="6">
        <v>0.1</v>
      </c>
      <c r="J460" s="8">
        <v>139.96</v>
      </c>
      <c r="K460" s="4" t="s">
        <v>20</v>
      </c>
      <c r="L460" t="s">
        <v>36</v>
      </c>
      <c r="M460">
        <f t="shared" si="21"/>
        <v>51.661000000000001</v>
      </c>
      <c r="N460" s="6">
        <f t="shared" si="22"/>
        <v>0.27092003639108808</v>
      </c>
      <c r="O460" s="6" t="str">
        <f t="shared" si="23"/>
        <v>Oct</v>
      </c>
    </row>
    <row r="461" spans="1:15">
      <c r="A461" t="s">
        <v>698</v>
      </c>
      <c r="B461" s="2">
        <v>45995</v>
      </c>
      <c r="C461" t="s">
        <v>476</v>
      </c>
      <c r="D461" t="s">
        <v>90</v>
      </c>
      <c r="E461" t="s">
        <v>69</v>
      </c>
      <c r="F461" t="s">
        <v>31</v>
      </c>
      <c r="G461" s="10">
        <v>2</v>
      </c>
      <c r="H461">
        <v>70877.509999999995</v>
      </c>
      <c r="I461" s="6">
        <v>0.2</v>
      </c>
      <c r="J461" s="8">
        <v>10463.11</v>
      </c>
      <c r="K461" s="4" t="s">
        <v>20</v>
      </c>
      <c r="L461" t="s">
        <v>36</v>
      </c>
      <c r="M461">
        <f t="shared" si="21"/>
        <v>14175.502</v>
      </c>
      <c r="N461" s="6">
        <f t="shared" si="22"/>
        <v>0.1476224263521673</v>
      </c>
      <c r="O461" s="6" t="str">
        <f t="shared" si="23"/>
        <v>Dec</v>
      </c>
    </row>
    <row r="462" spans="1:15">
      <c r="A462" t="s">
        <v>699</v>
      </c>
      <c r="B462" s="2">
        <v>45692</v>
      </c>
      <c r="C462" t="s">
        <v>700</v>
      </c>
      <c r="D462" t="s">
        <v>72</v>
      </c>
      <c r="E462" t="s">
        <v>69</v>
      </c>
      <c r="F462" t="s">
        <v>41</v>
      </c>
      <c r="G462" s="10">
        <v>5</v>
      </c>
      <c r="H462">
        <v>168466.41</v>
      </c>
      <c r="I462" s="6">
        <v>0.25</v>
      </c>
      <c r="J462" s="8">
        <v>42748.47</v>
      </c>
      <c r="K462" s="4" t="s">
        <v>65</v>
      </c>
      <c r="L462" t="s">
        <v>21</v>
      </c>
      <c r="M462">
        <f t="shared" si="21"/>
        <v>42116.602500000001</v>
      </c>
      <c r="N462" s="6">
        <f t="shared" si="22"/>
        <v>0.25375070318172033</v>
      </c>
      <c r="O462" s="6" t="str">
        <f t="shared" si="23"/>
        <v>Feb</v>
      </c>
    </row>
    <row r="463" spans="1:15">
      <c r="A463" t="s">
        <v>701</v>
      </c>
      <c r="B463" s="2">
        <v>45877</v>
      </c>
      <c r="C463" t="s">
        <v>194</v>
      </c>
      <c r="D463" t="s">
        <v>146</v>
      </c>
      <c r="E463" t="s">
        <v>25</v>
      </c>
      <c r="F463" t="s">
        <v>107</v>
      </c>
      <c r="G463" s="10">
        <v>4</v>
      </c>
      <c r="H463">
        <v>14953.37</v>
      </c>
      <c r="I463" s="6">
        <v>0</v>
      </c>
      <c r="J463" s="8">
        <v>3454.35</v>
      </c>
      <c r="K463" s="4" t="s">
        <v>65</v>
      </c>
      <c r="L463" t="s">
        <v>21</v>
      </c>
      <c r="M463">
        <f t="shared" si="21"/>
        <v>0</v>
      </c>
      <c r="N463" s="6">
        <f t="shared" si="22"/>
        <v>0.23100812726495765</v>
      </c>
      <c r="O463" s="6" t="str">
        <f t="shared" si="23"/>
        <v>Aug</v>
      </c>
    </row>
    <row r="464" spans="1:15">
      <c r="A464" t="s">
        <v>702</v>
      </c>
      <c r="B464" s="2">
        <v>45825</v>
      </c>
      <c r="C464" t="s">
        <v>668</v>
      </c>
      <c r="D464" t="s">
        <v>146</v>
      </c>
      <c r="E464" t="s">
        <v>25</v>
      </c>
      <c r="F464" t="s">
        <v>19</v>
      </c>
      <c r="G464" s="10">
        <v>5</v>
      </c>
      <c r="H464">
        <v>13631.74</v>
      </c>
      <c r="I464" s="6">
        <v>0.15</v>
      </c>
      <c r="J464" s="8">
        <v>4005.37</v>
      </c>
      <c r="K464" s="4" t="s">
        <v>32</v>
      </c>
      <c r="L464" t="s">
        <v>21</v>
      </c>
      <c r="M464">
        <f t="shared" si="21"/>
        <v>2044.761</v>
      </c>
      <c r="N464" s="6">
        <f t="shared" si="22"/>
        <v>0.29382676019348958</v>
      </c>
      <c r="O464" s="6" t="str">
        <f t="shared" si="23"/>
        <v>Jun</v>
      </c>
    </row>
    <row r="465" spans="1:15">
      <c r="A465" t="s">
        <v>703</v>
      </c>
      <c r="B465" s="2">
        <v>45889</v>
      </c>
      <c r="C465" t="s">
        <v>436</v>
      </c>
      <c r="D465" t="s">
        <v>17</v>
      </c>
      <c r="E465" t="s">
        <v>18</v>
      </c>
      <c r="F465" t="s">
        <v>31</v>
      </c>
      <c r="G465" s="10">
        <v>5</v>
      </c>
      <c r="H465">
        <v>19839.12</v>
      </c>
      <c r="I465" s="6">
        <v>0</v>
      </c>
      <c r="J465" s="8">
        <v>2893.53</v>
      </c>
      <c r="K465" s="4" t="s">
        <v>32</v>
      </c>
      <c r="L465" t="s">
        <v>21</v>
      </c>
      <c r="M465">
        <f t="shared" si="21"/>
        <v>0</v>
      </c>
      <c r="N465" s="6">
        <f t="shared" si="22"/>
        <v>0.14584971510833145</v>
      </c>
      <c r="O465" s="6" t="str">
        <f t="shared" si="23"/>
        <v>Aug</v>
      </c>
    </row>
    <row r="466" spans="1:15">
      <c r="A466" t="s">
        <v>704</v>
      </c>
      <c r="B466" s="2">
        <v>46000</v>
      </c>
      <c r="C466" t="s">
        <v>247</v>
      </c>
      <c r="D466" t="s">
        <v>56</v>
      </c>
      <c r="E466" t="s">
        <v>40</v>
      </c>
      <c r="F466" t="s">
        <v>70</v>
      </c>
      <c r="G466" s="10">
        <v>1</v>
      </c>
      <c r="H466">
        <v>1553.2</v>
      </c>
      <c r="I466" s="6">
        <v>0.1</v>
      </c>
      <c r="J466" s="8">
        <v>306.07</v>
      </c>
      <c r="K466" s="4" t="s">
        <v>32</v>
      </c>
      <c r="L466" t="s">
        <v>21</v>
      </c>
      <c r="M466">
        <f t="shared" si="21"/>
        <v>155.32000000000002</v>
      </c>
      <c r="N466" s="6">
        <f t="shared" si="22"/>
        <v>0.19705768735513776</v>
      </c>
      <c r="O466" s="6" t="str">
        <f t="shared" si="23"/>
        <v>Dec</v>
      </c>
    </row>
    <row r="467" spans="1:15">
      <c r="A467" t="s">
        <v>705</v>
      </c>
      <c r="B467" s="2">
        <v>45791</v>
      </c>
      <c r="C467" t="s">
        <v>212</v>
      </c>
      <c r="D467" t="s">
        <v>250</v>
      </c>
      <c r="E467" t="s">
        <v>76</v>
      </c>
      <c r="F467" t="s">
        <v>19</v>
      </c>
      <c r="G467" s="10">
        <v>3</v>
      </c>
      <c r="H467">
        <v>25384.37</v>
      </c>
      <c r="I467" s="6">
        <v>0.2</v>
      </c>
      <c r="J467" s="8">
        <v>4135.07</v>
      </c>
      <c r="K467" s="4" t="s">
        <v>20</v>
      </c>
      <c r="L467" t="s">
        <v>21</v>
      </c>
      <c r="M467">
        <f t="shared" si="21"/>
        <v>5076.8739999999998</v>
      </c>
      <c r="N467" s="6">
        <f t="shared" si="22"/>
        <v>0.16289827165298962</v>
      </c>
      <c r="O467" s="6" t="str">
        <f t="shared" si="23"/>
        <v>May</v>
      </c>
    </row>
    <row r="468" spans="1:15">
      <c r="A468" t="s">
        <v>706</v>
      </c>
      <c r="B468" s="2">
        <v>45749</v>
      </c>
      <c r="C468" t="s">
        <v>152</v>
      </c>
      <c r="D468" t="s">
        <v>17</v>
      </c>
      <c r="E468" t="s">
        <v>18</v>
      </c>
      <c r="F468" t="s">
        <v>77</v>
      </c>
      <c r="G468" s="10">
        <v>1</v>
      </c>
      <c r="H468">
        <v>2695.4</v>
      </c>
      <c r="I468" s="6">
        <v>0.05</v>
      </c>
      <c r="J468" s="8">
        <v>385.83</v>
      </c>
      <c r="K468" s="4" t="s">
        <v>32</v>
      </c>
      <c r="L468" t="s">
        <v>36</v>
      </c>
      <c r="M468">
        <f t="shared" si="21"/>
        <v>134.77000000000001</v>
      </c>
      <c r="N468" s="6">
        <f t="shared" si="22"/>
        <v>0.14314387474957332</v>
      </c>
      <c r="O468" s="6" t="str">
        <f t="shared" si="23"/>
        <v>Apr</v>
      </c>
    </row>
    <row r="469" spans="1:15">
      <c r="A469" t="s">
        <v>707</v>
      </c>
      <c r="B469" s="2">
        <v>45979</v>
      </c>
      <c r="C469" t="s">
        <v>165</v>
      </c>
      <c r="D469" t="s">
        <v>56</v>
      </c>
      <c r="E469" t="s">
        <v>40</v>
      </c>
      <c r="F469" t="s">
        <v>19</v>
      </c>
      <c r="G469" s="10">
        <v>3</v>
      </c>
      <c r="H469">
        <v>1734.54</v>
      </c>
      <c r="I469" s="6">
        <v>0.1</v>
      </c>
      <c r="J469" s="8">
        <v>159.86000000000001</v>
      </c>
      <c r="K469" s="4" t="s">
        <v>65</v>
      </c>
      <c r="L469" t="s">
        <v>21</v>
      </c>
      <c r="M469">
        <f t="shared" si="21"/>
        <v>173.45400000000001</v>
      </c>
      <c r="N469" s="6">
        <f t="shared" si="22"/>
        <v>9.2162763614560647E-2</v>
      </c>
      <c r="O469" s="6" t="str">
        <f t="shared" si="23"/>
        <v>Nov</v>
      </c>
    </row>
    <row r="470" spans="1:15">
      <c r="A470" t="s">
        <v>708</v>
      </c>
      <c r="B470" s="2">
        <v>45658</v>
      </c>
      <c r="C470" t="s">
        <v>47</v>
      </c>
      <c r="D470" t="s">
        <v>56</v>
      </c>
      <c r="E470" t="s">
        <v>40</v>
      </c>
      <c r="F470" t="s">
        <v>41</v>
      </c>
      <c r="G470" s="10">
        <v>4</v>
      </c>
      <c r="H470">
        <v>3479.83</v>
      </c>
      <c r="I470" s="6">
        <v>0</v>
      </c>
      <c r="J470" s="8">
        <v>857.71</v>
      </c>
      <c r="K470" s="4" t="s">
        <v>27</v>
      </c>
      <c r="L470" t="s">
        <v>21</v>
      </c>
      <c r="M470">
        <f t="shared" si="21"/>
        <v>0</v>
      </c>
      <c r="N470" s="6">
        <f t="shared" si="22"/>
        <v>0.24648043151533267</v>
      </c>
      <c r="O470" s="6" t="str">
        <f t="shared" si="23"/>
        <v>Jan</v>
      </c>
    </row>
    <row r="471" spans="1:15">
      <c r="A471" t="s">
        <v>709</v>
      </c>
      <c r="B471" s="2">
        <v>45839</v>
      </c>
      <c r="C471" t="s">
        <v>684</v>
      </c>
      <c r="D471" t="s">
        <v>58</v>
      </c>
      <c r="E471" t="s">
        <v>25</v>
      </c>
      <c r="F471" t="s">
        <v>26</v>
      </c>
      <c r="G471" s="10">
        <v>3</v>
      </c>
      <c r="H471">
        <v>4280.6899999999996</v>
      </c>
      <c r="I471" s="6">
        <v>0.05</v>
      </c>
      <c r="J471" s="8">
        <v>466.68</v>
      </c>
      <c r="K471" s="4" t="s">
        <v>27</v>
      </c>
      <c r="L471" t="s">
        <v>36</v>
      </c>
      <c r="M471">
        <f t="shared" si="21"/>
        <v>214.03449999999998</v>
      </c>
      <c r="N471" s="6">
        <f t="shared" si="22"/>
        <v>0.10901980755438961</v>
      </c>
      <c r="O471" s="6" t="str">
        <f t="shared" si="23"/>
        <v>Jul</v>
      </c>
    </row>
    <row r="472" spans="1:15">
      <c r="A472" t="s">
        <v>710</v>
      </c>
      <c r="B472" s="2">
        <v>45678</v>
      </c>
      <c r="C472" t="s">
        <v>44</v>
      </c>
      <c r="D472" t="s">
        <v>61</v>
      </c>
      <c r="E472" t="s">
        <v>40</v>
      </c>
      <c r="F472" t="s">
        <v>35</v>
      </c>
      <c r="G472" s="10">
        <v>2</v>
      </c>
      <c r="H472">
        <v>803.2</v>
      </c>
      <c r="I472" s="6">
        <v>0</v>
      </c>
      <c r="J472" s="8">
        <v>75.849999999999994</v>
      </c>
      <c r="K472" s="4" t="s">
        <v>27</v>
      </c>
      <c r="L472" t="s">
        <v>21</v>
      </c>
      <c r="M472">
        <f t="shared" si="21"/>
        <v>0</v>
      </c>
      <c r="N472" s="6">
        <f t="shared" si="22"/>
        <v>9.4434760956175284E-2</v>
      </c>
      <c r="O472" s="6" t="str">
        <f t="shared" si="23"/>
        <v>Jan</v>
      </c>
    </row>
    <row r="473" spans="1:15">
      <c r="A473" t="s">
        <v>711</v>
      </c>
      <c r="B473" s="2">
        <v>45745</v>
      </c>
      <c r="C473" t="s">
        <v>102</v>
      </c>
      <c r="D473" t="s">
        <v>45</v>
      </c>
      <c r="E473" t="s">
        <v>18</v>
      </c>
      <c r="F473" t="s">
        <v>41</v>
      </c>
      <c r="G473" s="10">
        <v>4</v>
      </c>
      <c r="H473">
        <v>5336.05</v>
      </c>
      <c r="I473" s="6">
        <v>0.15</v>
      </c>
      <c r="J473" s="8">
        <v>1046.44</v>
      </c>
      <c r="K473" s="4" t="s">
        <v>27</v>
      </c>
      <c r="L473" t="s">
        <v>21</v>
      </c>
      <c r="M473">
        <f t="shared" si="21"/>
        <v>800.40750000000003</v>
      </c>
      <c r="N473" s="6">
        <f t="shared" si="22"/>
        <v>0.19610760768733426</v>
      </c>
      <c r="O473" s="6" t="str">
        <f t="shared" si="23"/>
        <v>Mar</v>
      </c>
    </row>
    <row r="474" spans="1:15">
      <c r="A474" t="s">
        <v>712</v>
      </c>
      <c r="B474" s="2">
        <v>45726</v>
      </c>
      <c r="C474" t="s">
        <v>713</v>
      </c>
      <c r="D474" t="s">
        <v>58</v>
      </c>
      <c r="E474" t="s">
        <v>25</v>
      </c>
      <c r="F474" t="s">
        <v>26</v>
      </c>
      <c r="G474" s="10">
        <v>5</v>
      </c>
      <c r="H474">
        <v>14029.49</v>
      </c>
      <c r="I474" s="6">
        <v>0.05</v>
      </c>
      <c r="J474" s="8">
        <v>3398.76</v>
      </c>
      <c r="K474" s="4" t="s">
        <v>27</v>
      </c>
      <c r="L474" t="s">
        <v>21</v>
      </c>
      <c r="M474">
        <f t="shared" si="21"/>
        <v>701.47450000000003</v>
      </c>
      <c r="N474" s="6">
        <f t="shared" si="22"/>
        <v>0.24225827168343256</v>
      </c>
      <c r="O474" s="6" t="str">
        <f t="shared" si="23"/>
        <v>Mar</v>
      </c>
    </row>
    <row r="475" spans="1:15">
      <c r="A475" t="s">
        <v>714</v>
      </c>
      <c r="B475" s="2">
        <v>45724</v>
      </c>
      <c r="C475" t="s">
        <v>294</v>
      </c>
      <c r="D475" t="s">
        <v>50</v>
      </c>
      <c r="E475" t="s">
        <v>40</v>
      </c>
      <c r="F475" t="s">
        <v>107</v>
      </c>
      <c r="G475" s="10">
        <v>1</v>
      </c>
      <c r="H475">
        <v>503.7</v>
      </c>
      <c r="I475" s="6">
        <v>0.1</v>
      </c>
      <c r="J475" s="8">
        <v>61.96</v>
      </c>
      <c r="K475" s="4" t="s">
        <v>42</v>
      </c>
      <c r="L475" t="s">
        <v>21</v>
      </c>
      <c r="M475">
        <f t="shared" si="21"/>
        <v>50.370000000000005</v>
      </c>
      <c r="N475" s="6">
        <f t="shared" si="22"/>
        <v>0.12300972801270597</v>
      </c>
      <c r="O475" s="6" t="str">
        <f t="shared" si="23"/>
        <v>Mar</v>
      </c>
    </row>
    <row r="476" spans="1:15">
      <c r="A476" t="s">
        <v>715</v>
      </c>
      <c r="B476" s="2">
        <v>45730</v>
      </c>
      <c r="C476" t="s">
        <v>141</v>
      </c>
      <c r="D476" t="s">
        <v>17</v>
      </c>
      <c r="E476" t="s">
        <v>18</v>
      </c>
      <c r="F476" t="s">
        <v>19</v>
      </c>
      <c r="G476" s="10">
        <v>4</v>
      </c>
      <c r="H476">
        <v>6439.25</v>
      </c>
      <c r="I476" s="6">
        <v>0.25</v>
      </c>
      <c r="J476" s="8">
        <v>1042.92</v>
      </c>
      <c r="K476" s="4" t="s">
        <v>20</v>
      </c>
      <c r="L476" t="s">
        <v>21</v>
      </c>
      <c r="M476">
        <f t="shared" si="21"/>
        <v>1609.8125</v>
      </c>
      <c r="N476" s="6">
        <f t="shared" si="22"/>
        <v>0.16196296152502235</v>
      </c>
      <c r="O476" s="6" t="str">
        <f t="shared" si="23"/>
        <v>Mar</v>
      </c>
    </row>
    <row r="477" spans="1:15">
      <c r="A477" t="s">
        <v>716</v>
      </c>
      <c r="B477" s="2">
        <v>45880</v>
      </c>
      <c r="C477" t="s">
        <v>89</v>
      </c>
      <c r="D477" t="s">
        <v>75</v>
      </c>
      <c r="E477" t="s">
        <v>76</v>
      </c>
      <c r="F477" t="s">
        <v>35</v>
      </c>
      <c r="G477" s="10">
        <v>1</v>
      </c>
      <c r="H477">
        <v>2297</v>
      </c>
      <c r="I477" s="6">
        <v>0.15</v>
      </c>
      <c r="J477" s="8">
        <v>370.63</v>
      </c>
      <c r="K477" s="4" t="s">
        <v>65</v>
      </c>
      <c r="L477" t="s">
        <v>21</v>
      </c>
      <c r="M477">
        <f t="shared" si="21"/>
        <v>344.55</v>
      </c>
      <c r="N477" s="6">
        <f t="shared" si="22"/>
        <v>0.16135393992163691</v>
      </c>
      <c r="O477" s="6" t="str">
        <f t="shared" si="23"/>
        <v>Aug</v>
      </c>
    </row>
    <row r="478" spans="1:15">
      <c r="A478" t="s">
        <v>717</v>
      </c>
      <c r="B478" s="2">
        <v>45727</v>
      </c>
      <c r="C478" t="s">
        <v>416</v>
      </c>
      <c r="D478" t="s">
        <v>45</v>
      </c>
      <c r="E478" t="s">
        <v>18</v>
      </c>
      <c r="F478" t="s">
        <v>107</v>
      </c>
      <c r="G478" s="10">
        <v>3</v>
      </c>
      <c r="H478">
        <v>3951.01</v>
      </c>
      <c r="I478" s="6">
        <v>0.05</v>
      </c>
      <c r="J478" s="8">
        <v>446.14</v>
      </c>
      <c r="K478" s="4" t="s">
        <v>32</v>
      </c>
      <c r="L478" t="s">
        <v>21</v>
      </c>
      <c r="M478">
        <f t="shared" si="21"/>
        <v>197.55050000000003</v>
      </c>
      <c r="N478" s="6">
        <f t="shared" si="22"/>
        <v>0.11291796274876549</v>
      </c>
      <c r="O478" s="6" t="str">
        <f t="shared" si="23"/>
        <v>Mar</v>
      </c>
    </row>
    <row r="479" spans="1:15">
      <c r="A479" t="s">
        <v>718</v>
      </c>
      <c r="B479" s="2">
        <v>45975</v>
      </c>
      <c r="C479" t="s">
        <v>79</v>
      </c>
      <c r="D479" t="s">
        <v>84</v>
      </c>
      <c r="E479" t="s">
        <v>18</v>
      </c>
      <c r="F479" t="s">
        <v>77</v>
      </c>
      <c r="G479" s="10">
        <v>1</v>
      </c>
      <c r="H479">
        <v>1606.88</v>
      </c>
      <c r="I479" s="6">
        <v>0</v>
      </c>
      <c r="J479" s="8">
        <v>193.81</v>
      </c>
      <c r="K479" s="4" t="s">
        <v>65</v>
      </c>
      <c r="L479" t="s">
        <v>21</v>
      </c>
      <c r="M479">
        <f t="shared" si="21"/>
        <v>0</v>
      </c>
      <c r="N479" s="6">
        <f t="shared" si="22"/>
        <v>0.12061261575226526</v>
      </c>
      <c r="O479" s="6" t="str">
        <f t="shared" si="23"/>
        <v>Nov</v>
      </c>
    </row>
    <row r="480" spans="1:15">
      <c r="A480" t="s">
        <v>719</v>
      </c>
      <c r="B480" s="2">
        <v>45801</v>
      </c>
      <c r="C480" t="s">
        <v>29</v>
      </c>
      <c r="D480" t="s">
        <v>84</v>
      </c>
      <c r="E480" t="s">
        <v>18</v>
      </c>
      <c r="F480" t="s">
        <v>41</v>
      </c>
      <c r="G480" s="10">
        <v>3</v>
      </c>
      <c r="H480">
        <v>2918.35</v>
      </c>
      <c r="I480" s="6">
        <v>0.15</v>
      </c>
      <c r="J480" s="8">
        <v>561.98</v>
      </c>
      <c r="K480" s="4" t="s">
        <v>20</v>
      </c>
      <c r="L480" t="s">
        <v>21</v>
      </c>
      <c r="M480">
        <f t="shared" si="21"/>
        <v>437.7525</v>
      </c>
      <c r="N480" s="6">
        <f t="shared" si="22"/>
        <v>0.19256771805986261</v>
      </c>
      <c r="O480" s="6" t="str">
        <f t="shared" si="23"/>
        <v>May</v>
      </c>
    </row>
    <row r="481" spans="1:15">
      <c r="A481" t="s">
        <v>720</v>
      </c>
      <c r="B481" s="2">
        <v>45693</v>
      </c>
      <c r="C481" t="s">
        <v>618</v>
      </c>
      <c r="D481" t="s">
        <v>146</v>
      </c>
      <c r="E481" t="s">
        <v>25</v>
      </c>
      <c r="F481" t="s">
        <v>41</v>
      </c>
      <c r="G481" s="10">
        <v>1</v>
      </c>
      <c r="H481">
        <v>4356.2700000000004</v>
      </c>
      <c r="I481" s="6">
        <v>0.05</v>
      </c>
      <c r="J481" s="8">
        <v>1135.26</v>
      </c>
      <c r="K481" s="4" t="s">
        <v>65</v>
      </c>
      <c r="L481" t="s">
        <v>21</v>
      </c>
      <c r="M481">
        <f t="shared" si="21"/>
        <v>217.81350000000003</v>
      </c>
      <c r="N481" s="6">
        <f t="shared" si="22"/>
        <v>0.26060368158998404</v>
      </c>
      <c r="O481" s="6" t="str">
        <f t="shared" si="23"/>
        <v>Feb</v>
      </c>
    </row>
    <row r="482" spans="1:15">
      <c r="A482" t="s">
        <v>721</v>
      </c>
      <c r="B482" s="2">
        <v>45772</v>
      </c>
      <c r="C482" t="s">
        <v>668</v>
      </c>
      <c r="D482" t="s">
        <v>146</v>
      </c>
      <c r="E482" t="s">
        <v>25</v>
      </c>
      <c r="F482" t="s">
        <v>35</v>
      </c>
      <c r="G482" s="10">
        <v>2</v>
      </c>
      <c r="H482">
        <v>1078.77</v>
      </c>
      <c r="I482" s="6">
        <v>0.1</v>
      </c>
      <c r="J482" s="8">
        <v>284.82</v>
      </c>
      <c r="K482" s="4" t="s">
        <v>20</v>
      </c>
      <c r="L482" t="s">
        <v>21</v>
      </c>
      <c r="M482">
        <f t="shared" si="21"/>
        <v>107.87700000000001</v>
      </c>
      <c r="N482" s="6">
        <f t="shared" si="22"/>
        <v>0.26402291498651242</v>
      </c>
      <c r="O482" s="6" t="str">
        <f t="shared" si="23"/>
        <v>Apr</v>
      </c>
    </row>
    <row r="483" spans="1:15">
      <c r="A483" t="s">
        <v>722</v>
      </c>
      <c r="B483" s="2">
        <v>45769</v>
      </c>
      <c r="C483" t="s">
        <v>534</v>
      </c>
      <c r="D483" t="s">
        <v>53</v>
      </c>
      <c r="E483" t="s">
        <v>25</v>
      </c>
      <c r="F483" t="s">
        <v>19</v>
      </c>
      <c r="G483" s="10">
        <v>3</v>
      </c>
      <c r="H483">
        <v>9780.6</v>
      </c>
      <c r="I483" s="6">
        <v>0.2</v>
      </c>
      <c r="J483" s="8">
        <v>2009.23</v>
      </c>
      <c r="K483" s="4" t="s">
        <v>42</v>
      </c>
      <c r="L483" t="s">
        <v>21</v>
      </c>
      <c r="M483">
        <f t="shared" si="21"/>
        <v>1956.1200000000001</v>
      </c>
      <c r="N483" s="6">
        <f t="shared" si="22"/>
        <v>0.20543013721039607</v>
      </c>
      <c r="O483" s="6" t="str">
        <f t="shared" si="23"/>
        <v>Apr</v>
      </c>
    </row>
    <row r="484" spans="1:15">
      <c r="A484" t="s">
        <v>723</v>
      </c>
      <c r="B484" s="2">
        <v>45664</v>
      </c>
      <c r="C484" t="s">
        <v>104</v>
      </c>
      <c r="D484" t="s">
        <v>24</v>
      </c>
      <c r="E484" t="s">
        <v>25</v>
      </c>
      <c r="F484" t="s">
        <v>70</v>
      </c>
      <c r="G484" s="10">
        <v>3</v>
      </c>
      <c r="H484">
        <v>10821.42</v>
      </c>
      <c r="I484" s="6">
        <v>0.25</v>
      </c>
      <c r="J484" s="8">
        <v>991.37</v>
      </c>
      <c r="K484" s="4" t="s">
        <v>32</v>
      </c>
      <c r="L484" t="s">
        <v>21</v>
      </c>
      <c r="M484">
        <f t="shared" si="21"/>
        <v>2705.355</v>
      </c>
      <c r="N484" s="6">
        <f t="shared" si="22"/>
        <v>9.1611821738736693E-2</v>
      </c>
      <c r="O484" s="6" t="str">
        <f t="shared" si="23"/>
        <v>Jan</v>
      </c>
    </row>
    <row r="485" spans="1:15">
      <c r="A485" t="s">
        <v>724</v>
      </c>
      <c r="B485" s="2">
        <v>45822</v>
      </c>
      <c r="C485" t="s">
        <v>216</v>
      </c>
      <c r="D485" t="s">
        <v>191</v>
      </c>
      <c r="E485" t="s">
        <v>69</v>
      </c>
      <c r="F485" t="s">
        <v>19</v>
      </c>
      <c r="G485" s="10">
        <v>1</v>
      </c>
      <c r="H485">
        <v>20565.52</v>
      </c>
      <c r="I485" s="6">
        <v>0</v>
      </c>
      <c r="J485" s="8">
        <v>3048.82</v>
      </c>
      <c r="K485" s="4" t="s">
        <v>32</v>
      </c>
      <c r="L485" t="s">
        <v>21</v>
      </c>
      <c r="M485">
        <f t="shared" si="21"/>
        <v>0</v>
      </c>
      <c r="N485" s="6">
        <f t="shared" si="22"/>
        <v>0.14824910821608206</v>
      </c>
      <c r="O485" s="6" t="str">
        <f t="shared" si="23"/>
        <v>Jun</v>
      </c>
    </row>
    <row r="486" spans="1:15">
      <c r="A486" t="s">
        <v>725</v>
      </c>
      <c r="B486" s="2">
        <v>45910</v>
      </c>
      <c r="C486" t="s">
        <v>381</v>
      </c>
      <c r="D486" t="s">
        <v>87</v>
      </c>
      <c r="E486" t="s">
        <v>25</v>
      </c>
      <c r="F486" t="s">
        <v>35</v>
      </c>
      <c r="G486" s="10">
        <v>5</v>
      </c>
      <c r="H486">
        <v>10030.1</v>
      </c>
      <c r="I486" s="6">
        <v>0</v>
      </c>
      <c r="J486" s="8">
        <v>1417.89</v>
      </c>
      <c r="K486" s="4" t="s">
        <v>27</v>
      </c>
      <c r="L486" t="s">
        <v>36</v>
      </c>
      <c r="M486">
        <f t="shared" si="21"/>
        <v>0</v>
      </c>
      <c r="N486" s="6">
        <f t="shared" si="22"/>
        <v>0.14136349587740901</v>
      </c>
      <c r="O486" s="6" t="str">
        <f t="shared" si="23"/>
        <v>Sep</v>
      </c>
    </row>
    <row r="487" spans="1:15">
      <c r="A487" t="s">
        <v>726</v>
      </c>
      <c r="B487" s="2">
        <v>45707</v>
      </c>
      <c r="C487" t="s">
        <v>16</v>
      </c>
      <c r="D487" t="s">
        <v>75</v>
      </c>
      <c r="E487" t="s">
        <v>76</v>
      </c>
      <c r="F487" t="s">
        <v>35</v>
      </c>
      <c r="G487" s="10">
        <v>4</v>
      </c>
      <c r="H487">
        <v>13966.4</v>
      </c>
      <c r="I487" s="6">
        <v>0.1</v>
      </c>
      <c r="J487" s="8">
        <v>2569.52</v>
      </c>
      <c r="K487" s="4" t="s">
        <v>20</v>
      </c>
      <c r="L487" t="s">
        <v>36</v>
      </c>
      <c r="M487">
        <f t="shared" si="21"/>
        <v>1396.64</v>
      </c>
      <c r="N487" s="6">
        <f t="shared" si="22"/>
        <v>0.1839786917172643</v>
      </c>
      <c r="O487" s="6" t="str">
        <f t="shared" si="23"/>
        <v>Feb</v>
      </c>
    </row>
    <row r="488" spans="1:15">
      <c r="A488" t="s">
        <v>727</v>
      </c>
      <c r="B488" s="2">
        <v>45658</v>
      </c>
      <c r="C488" t="s">
        <v>180</v>
      </c>
      <c r="D488" t="s">
        <v>30</v>
      </c>
      <c r="E488" t="s">
        <v>18</v>
      </c>
      <c r="F488" t="s">
        <v>35</v>
      </c>
      <c r="G488" s="10">
        <v>2</v>
      </c>
      <c r="H488">
        <v>2724.62</v>
      </c>
      <c r="I488" s="6">
        <v>0.15</v>
      </c>
      <c r="J488" s="8">
        <v>515.5</v>
      </c>
      <c r="K488" s="4" t="s">
        <v>20</v>
      </c>
      <c r="L488" t="s">
        <v>36</v>
      </c>
      <c r="M488">
        <f t="shared" si="21"/>
        <v>408.69299999999998</v>
      </c>
      <c r="N488" s="6">
        <f t="shared" si="22"/>
        <v>0.18920069587685623</v>
      </c>
      <c r="O488" s="6" t="str">
        <f t="shared" si="23"/>
        <v>Jan</v>
      </c>
    </row>
    <row r="489" spans="1:15">
      <c r="A489" t="s">
        <v>728</v>
      </c>
      <c r="B489" s="2">
        <v>45671</v>
      </c>
      <c r="C489" t="s">
        <v>729</v>
      </c>
      <c r="D489" t="s">
        <v>50</v>
      </c>
      <c r="E489" t="s">
        <v>40</v>
      </c>
      <c r="F489" t="s">
        <v>77</v>
      </c>
      <c r="G489" s="10">
        <v>3</v>
      </c>
      <c r="H489">
        <v>2437.3200000000002</v>
      </c>
      <c r="I489" s="6">
        <v>0</v>
      </c>
      <c r="J489" s="8">
        <v>352.22</v>
      </c>
      <c r="K489" s="4" t="s">
        <v>20</v>
      </c>
      <c r="L489" t="s">
        <v>21</v>
      </c>
      <c r="M489">
        <f t="shared" si="21"/>
        <v>0</v>
      </c>
      <c r="N489" s="6">
        <f t="shared" si="22"/>
        <v>0.14451118441566968</v>
      </c>
      <c r="O489" s="6" t="str">
        <f t="shared" si="23"/>
        <v>Jan</v>
      </c>
    </row>
    <row r="490" spans="1:15">
      <c r="A490" t="s">
        <v>730</v>
      </c>
      <c r="B490" s="2">
        <v>45948</v>
      </c>
      <c r="C490" t="s">
        <v>120</v>
      </c>
      <c r="D490" t="s">
        <v>61</v>
      </c>
      <c r="E490" t="s">
        <v>40</v>
      </c>
      <c r="F490" t="s">
        <v>19</v>
      </c>
      <c r="G490" s="10">
        <v>5</v>
      </c>
      <c r="H490">
        <v>9953.9599999999991</v>
      </c>
      <c r="I490" s="6">
        <v>0.05</v>
      </c>
      <c r="J490" s="8">
        <v>2216.61</v>
      </c>
      <c r="K490" s="4" t="s">
        <v>27</v>
      </c>
      <c r="L490" t="s">
        <v>36</v>
      </c>
      <c r="M490">
        <f t="shared" si="21"/>
        <v>497.69799999999998</v>
      </c>
      <c r="N490" s="6">
        <f t="shared" si="22"/>
        <v>0.22268624748341367</v>
      </c>
      <c r="O490" s="6" t="str">
        <f t="shared" si="23"/>
        <v>Oct</v>
      </c>
    </row>
    <row r="491" spans="1:15">
      <c r="A491" t="s">
        <v>731</v>
      </c>
      <c r="B491" s="2">
        <v>46007</v>
      </c>
      <c r="C491" t="s">
        <v>447</v>
      </c>
      <c r="D491" t="s">
        <v>17</v>
      </c>
      <c r="E491" t="s">
        <v>18</v>
      </c>
      <c r="F491" t="s">
        <v>70</v>
      </c>
      <c r="G491" s="10">
        <v>1</v>
      </c>
      <c r="H491">
        <v>3187.03</v>
      </c>
      <c r="I491" s="6">
        <v>0.2</v>
      </c>
      <c r="J491" s="8">
        <v>436.77</v>
      </c>
      <c r="K491" s="4" t="s">
        <v>65</v>
      </c>
      <c r="L491" t="s">
        <v>21</v>
      </c>
      <c r="M491">
        <f t="shared" si="21"/>
        <v>637.40600000000006</v>
      </c>
      <c r="N491" s="6">
        <f t="shared" si="22"/>
        <v>0.13704608993326073</v>
      </c>
      <c r="O491" s="6" t="str">
        <f t="shared" si="23"/>
        <v>Dec</v>
      </c>
    </row>
    <row r="492" spans="1:15">
      <c r="A492" t="s">
        <v>732</v>
      </c>
      <c r="B492" s="2">
        <v>45842</v>
      </c>
      <c r="C492" t="s">
        <v>252</v>
      </c>
      <c r="D492" t="s">
        <v>114</v>
      </c>
      <c r="E492" t="s">
        <v>69</v>
      </c>
      <c r="F492" t="s">
        <v>35</v>
      </c>
      <c r="G492" s="10">
        <v>2</v>
      </c>
      <c r="H492">
        <v>1384.78</v>
      </c>
      <c r="I492" s="6">
        <v>0.15</v>
      </c>
      <c r="J492" s="8">
        <v>251.48</v>
      </c>
      <c r="K492" s="4" t="s">
        <v>20</v>
      </c>
      <c r="L492" t="s">
        <v>36</v>
      </c>
      <c r="M492">
        <f t="shared" si="21"/>
        <v>207.71699999999998</v>
      </c>
      <c r="N492" s="6">
        <f t="shared" si="22"/>
        <v>0.18160285388292724</v>
      </c>
      <c r="O492" s="6" t="str">
        <f t="shared" si="23"/>
        <v>Jul</v>
      </c>
    </row>
    <row r="493" spans="1:15">
      <c r="A493" t="s">
        <v>733</v>
      </c>
      <c r="B493" s="2">
        <v>45754</v>
      </c>
      <c r="C493" t="s">
        <v>559</v>
      </c>
      <c r="D493" t="s">
        <v>191</v>
      </c>
      <c r="E493" t="s">
        <v>69</v>
      </c>
      <c r="F493" t="s">
        <v>70</v>
      </c>
      <c r="G493" s="10">
        <v>1</v>
      </c>
      <c r="H493">
        <v>7181.51</v>
      </c>
      <c r="I493" s="6">
        <v>0.15</v>
      </c>
      <c r="J493" s="8">
        <v>936.17</v>
      </c>
      <c r="K493" s="4" t="s">
        <v>65</v>
      </c>
      <c r="L493" t="s">
        <v>21</v>
      </c>
      <c r="M493">
        <f t="shared" si="21"/>
        <v>1077.2265</v>
      </c>
      <c r="N493" s="6">
        <f t="shared" si="22"/>
        <v>0.13035837866966696</v>
      </c>
      <c r="O493" s="6" t="str">
        <f t="shared" si="23"/>
        <v>Apr</v>
      </c>
    </row>
    <row r="494" spans="1:15">
      <c r="A494" t="s">
        <v>734</v>
      </c>
      <c r="B494" s="2">
        <v>45727</v>
      </c>
      <c r="C494" t="s">
        <v>102</v>
      </c>
      <c r="D494" t="s">
        <v>90</v>
      </c>
      <c r="E494" t="s">
        <v>69</v>
      </c>
      <c r="F494" t="s">
        <v>19</v>
      </c>
      <c r="G494" s="10">
        <v>2</v>
      </c>
      <c r="H494">
        <v>8086.25</v>
      </c>
      <c r="I494" s="6">
        <v>0.05</v>
      </c>
      <c r="J494" s="8">
        <v>933.19</v>
      </c>
      <c r="K494" s="4" t="s">
        <v>27</v>
      </c>
      <c r="L494" t="s">
        <v>21</v>
      </c>
      <c r="M494">
        <f t="shared" si="21"/>
        <v>404.3125</v>
      </c>
      <c r="N494" s="6">
        <f t="shared" si="22"/>
        <v>0.11540454475189366</v>
      </c>
      <c r="O494" s="6" t="str">
        <f t="shared" si="23"/>
        <v>Mar</v>
      </c>
    </row>
    <row r="495" spans="1:15">
      <c r="A495" t="s">
        <v>735</v>
      </c>
      <c r="B495" s="2">
        <v>45952</v>
      </c>
      <c r="C495" t="s">
        <v>455</v>
      </c>
      <c r="D495" t="s">
        <v>114</v>
      </c>
      <c r="E495" t="s">
        <v>69</v>
      </c>
      <c r="F495" t="s">
        <v>35</v>
      </c>
      <c r="G495" s="10">
        <v>5</v>
      </c>
      <c r="H495">
        <v>158987.25</v>
      </c>
      <c r="I495" s="6">
        <v>0.05</v>
      </c>
      <c r="J495" s="8">
        <v>42947.45</v>
      </c>
      <c r="K495" s="4" t="s">
        <v>27</v>
      </c>
      <c r="L495" t="s">
        <v>21</v>
      </c>
      <c r="M495">
        <f t="shared" si="21"/>
        <v>7949.3625000000002</v>
      </c>
      <c r="N495" s="6">
        <f t="shared" si="22"/>
        <v>0.27013140990865619</v>
      </c>
      <c r="O495" s="6" t="str">
        <f t="shared" si="23"/>
        <v>Oct</v>
      </c>
    </row>
    <row r="496" spans="1:15">
      <c r="A496" t="s">
        <v>736</v>
      </c>
      <c r="B496" s="2">
        <v>45920</v>
      </c>
      <c r="C496" t="s">
        <v>552</v>
      </c>
      <c r="D496" t="s">
        <v>146</v>
      </c>
      <c r="E496" t="s">
        <v>25</v>
      </c>
      <c r="F496" t="s">
        <v>107</v>
      </c>
      <c r="G496" s="10">
        <v>2</v>
      </c>
      <c r="H496">
        <v>4245.68</v>
      </c>
      <c r="I496" s="6">
        <v>0.25</v>
      </c>
      <c r="J496" s="8">
        <v>565.46</v>
      </c>
      <c r="K496" s="4" t="s">
        <v>20</v>
      </c>
      <c r="L496" t="s">
        <v>21</v>
      </c>
      <c r="M496">
        <f t="shared" si="21"/>
        <v>1061.42</v>
      </c>
      <c r="N496" s="6">
        <f t="shared" si="22"/>
        <v>0.13318479018673099</v>
      </c>
      <c r="O496" s="6" t="str">
        <f t="shared" si="23"/>
        <v>Sep</v>
      </c>
    </row>
    <row r="497" spans="1:15">
      <c r="A497" t="s">
        <v>737</v>
      </c>
      <c r="B497" s="2">
        <v>45989</v>
      </c>
      <c r="C497" t="s">
        <v>281</v>
      </c>
      <c r="D497" t="s">
        <v>72</v>
      </c>
      <c r="E497" t="s">
        <v>69</v>
      </c>
      <c r="F497" t="s">
        <v>70</v>
      </c>
      <c r="G497" s="10">
        <v>2</v>
      </c>
      <c r="H497">
        <v>28568.22</v>
      </c>
      <c r="I497" s="6">
        <v>0.1</v>
      </c>
      <c r="J497" s="8">
        <v>1367.14</v>
      </c>
      <c r="K497" s="4" t="s">
        <v>65</v>
      </c>
      <c r="L497" t="s">
        <v>21</v>
      </c>
      <c r="M497">
        <f t="shared" si="21"/>
        <v>2856.8220000000001</v>
      </c>
      <c r="N497" s="6">
        <f t="shared" si="22"/>
        <v>4.7855274147286742E-2</v>
      </c>
      <c r="O497" s="6" t="str">
        <f t="shared" si="23"/>
        <v>Nov</v>
      </c>
    </row>
    <row r="498" spans="1:15">
      <c r="A498" t="s">
        <v>738</v>
      </c>
      <c r="B498" s="2">
        <v>45842</v>
      </c>
      <c r="C498" t="s">
        <v>216</v>
      </c>
      <c r="D498" t="s">
        <v>72</v>
      </c>
      <c r="E498" t="s">
        <v>69</v>
      </c>
      <c r="F498" t="s">
        <v>77</v>
      </c>
      <c r="G498" s="10">
        <v>4</v>
      </c>
      <c r="H498">
        <v>82790.240000000005</v>
      </c>
      <c r="I498" s="6">
        <v>0.25</v>
      </c>
      <c r="J498" s="8">
        <v>11375.59</v>
      </c>
      <c r="K498" s="4" t="s">
        <v>20</v>
      </c>
      <c r="L498" t="s">
        <v>21</v>
      </c>
      <c r="M498">
        <f t="shared" si="21"/>
        <v>20697.560000000001</v>
      </c>
      <c r="N498" s="6">
        <f t="shared" si="22"/>
        <v>0.13740254889948381</v>
      </c>
      <c r="O498" s="6" t="str">
        <f t="shared" si="23"/>
        <v>Jul</v>
      </c>
    </row>
    <row r="499" spans="1:15">
      <c r="A499" t="s">
        <v>739</v>
      </c>
      <c r="B499" s="2">
        <v>45688</v>
      </c>
      <c r="C499" t="s">
        <v>740</v>
      </c>
      <c r="D499" t="s">
        <v>95</v>
      </c>
      <c r="E499" t="s">
        <v>76</v>
      </c>
      <c r="F499" t="s">
        <v>31</v>
      </c>
      <c r="G499" s="10">
        <v>2</v>
      </c>
      <c r="H499">
        <v>9631.86</v>
      </c>
      <c r="I499" s="6">
        <v>0</v>
      </c>
      <c r="J499" s="8">
        <v>1177.57</v>
      </c>
      <c r="K499" s="4" t="s">
        <v>32</v>
      </c>
      <c r="L499" t="s">
        <v>21</v>
      </c>
      <c r="M499">
        <f t="shared" si="21"/>
        <v>0</v>
      </c>
      <c r="N499" s="6">
        <f t="shared" si="22"/>
        <v>0.12225779859757097</v>
      </c>
      <c r="O499" s="6" t="str">
        <f t="shared" si="23"/>
        <v>Jan</v>
      </c>
    </row>
    <row r="500" spans="1:15">
      <c r="A500" t="s">
        <v>741</v>
      </c>
      <c r="B500" s="2">
        <v>45948</v>
      </c>
      <c r="C500" t="s">
        <v>55</v>
      </c>
      <c r="D500" t="s">
        <v>58</v>
      </c>
      <c r="E500" t="s">
        <v>25</v>
      </c>
      <c r="F500" t="s">
        <v>41</v>
      </c>
      <c r="G500" s="10">
        <v>2</v>
      </c>
      <c r="H500">
        <v>2029.13</v>
      </c>
      <c r="I500" s="6">
        <v>0.15</v>
      </c>
      <c r="J500" s="8">
        <v>538.69000000000005</v>
      </c>
      <c r="K500" s="4" t="s">
        <v>32</v>
      </c>
      <c r="L500" t="s">
        <v>21</v>
      </c>
      <c r="M500">
        <f t="shared" si="21"/>
        <v>304.36950000000002</v>
      </c>
      <c r="N500" s="6">
        <f t="shared" si="22"/>
        <v>0.26547830843760628</v>
      </c>
      <c r="O500" s="6" t="str">
        <f t="shared" si="23"/>
        <v>Oct</v>
      </c>
    </row>
    <row r="501" spans="1:15">
      <c r="A501" t="s">
        <v>742</v>
      </c>
      <c r="B501" s="2">
        <v>45718</v>
      </c>
      <c r="C501" t="s">
        <v>684</v>
      </c>
      <c r="D501" t="s">
        <v>61</v>
      </c>
      <c r="E501" t="s">
        <v>40</v>
      </c>
      <c r="F501" t="s">
        <v>41</v>
      </c>
      <c r="G501" s="10">
        <v>2</v>
      </c>
      <c r="H501">
        <v>2803.01</v>
      </c>
      <c r="I501" s="6">
        <v>0</v>
      </c>
      <c r="J501" s="8">
        <v>683.69</v>
      </c>
      <c r="K501" s="4" t="s">
        <v>65</v>
      </c>
      <c r="L501" t="s">
        <v>21</v>
      </c>
      <c r="M501">
        <f t="shared" si="21"/>
        <v>0</v>
      </c>
      <c r="N501" s="6">
        <f t="shared" si="22"/>
        <v>0.24391279374672228</v>
      </c>
      <c r="O501" s="6" t="str">
        <f t="shared" si="23"/>
        <v>Mar</v>
      </c>
    </row>
    <row r="502" spans="1:15">
      <c r="A502" t="s">
        <v>743</v>
      </c>
      <c r="B502" s="2">
        <v>45765</v>
      </c>
      <c r="C502" t="s">
        <v>559</v>
      </c>
      <c r="D502" t="s">
        <v>17</v>
      </c>
      <c r="E502" t="s">
        <v>18</v>
      </c>
      <c r="F502" t="s">
        <v>19</v>
      </c>
      <c r="G502" s="10">
        <v>2</v>
      </c>
      <c r="H502">
        <v>2775.77</v>
      </c>
      <c r="I502" s="6">
        <v>0.15</v>
      </c>
      <c r="J502" s="8">
        <v>633.38</v>
      </c>
      <c r="K502" s="4" t="s">
        <v>32</v>
      </c>
      <c r="L502" t="s">
        <v>21</v>
      </c>
      <c r="M502">
        <f t="shared" si="21"/>
        <v>416.3655</v>
      </c>
      <c r="N502" s="6">
        <f t="shared" si="22"/>
        <v>0.22818172975426637</v>
      </c>
      <c r="O502" s="6" t="str">
        <f t="shared" si="23"/>
        <v>Apr</v>
      </c>
    </row>
    <row r="503" spans="1:15">
      <c r="A503" t="s">
        <v>744</v>
      </c>
      <c r="B503" s="2">
        <v>45797</v>
      </c>
      <c r="C503" t="s">
        <v>130</v>
      </c>
      <c r="D503" t="s">
        <v>124</v>
      </c>
      <c r="E503" t="s">
        <v>76</v>
      </c>
      <c r="F503" t="s">
        <v>70</v>
      </c>
      <c r="G503" s="10">
        <v>1</v>
      </c>
      <c r="H503">
        <v>7395.19</v>
      </c>
      <c r="I503" s="6">
        <v>0.25</v>
      </c>
      <c r="J503" s="8">
        <v>665.19</v>
      </c>
      <c r="K503" s="4" t="s">
        <v>27</v>
      </c>
      <c r="L503" t="s">
        <v>36</v>
      </c>
      <c r="M503">
        <f t="shared" si="21"/>
        <v>1848.7974999999999</v>
      </c>
      <c r="N503" s="6">
        <f t="shared" si="22"/>
        <v>8.994900739534753E-2</v>
      </c>
      <c r="O503" s="6" t="str">
        <f t="shared" si="23"/>
        <v>May</v>
      </c>
    </row>
    <row r="504" spans="1:15">
      <c r="A504" t="s">
        <v>745</v>
      </c>
      <c r="B504" s="2">
        <v>45992</v>
      </c>
      <c r="C504" t="s">
        <v>222</v>
      </c>
      <c r="D504" t="s">
        <v>191</v>
      </c>
      <c r="E504" t="s">
        <v>69</v>
      </c>
      <c r="F504" t="s">
        <v>19</v>
      </c>
      <c r="G504" s="10">
        <v>4</v>
      </c>
      <c r="H504">
        <v>252197.37</v>
      </c>
      <c r="I504" s="6">
        <v>0</v>
      </c>
      <c r="J504" s="8">
        <v>20760.439999999999</v>
      </c>
      <c r="K504" s="4" t="s">
        <v>32</v>
      </c>
      <c r="L504" t="s">
        <v>21</v>
      </c>
      <c r="M504">
        <f t="shared" si="21"/>
        <v>0</v>
      </c>
      <c r="N504" s="6">
        <f t="shared" si="22"/>
        <v>8.2318225602431933E-2</v>
      </c>
      <c r="O504" s="6" t="str">
        <f t="shared" si="23"/>
        <v>Dec</v>
      </c>
    </row>
    <row r="505" spans="1:15">
      <c r="A505" t="s">
        <v>746</v>
      </c>
      <c r="B505" s="2">
        <v>45754</v>
      </c>
      <c r="C505" t="s">
        <v>237</v>
      </c>
      <c r="D505" t="s">
        <v>39</v>
      </c>
      <c r="E505" t="s">
        <v>40</v>
      </c>
      <c r="F505" t="s">
        <v>41</v>
      </c>
      <c r="G505" s="10">
        <v>5</v>
      </c>
      <c r="H505">
        <v>4593.7299999999996</v>
      </c>
      <c r="I505" s="6">
        <v>0.1</v>
      </c>
      <c r="J505" s="8">
        <v>534.72</v>
      </c>
      <c r="K505" s="4" t="s">
        <v>65</v>
      </c>
      <c r="L505" t="s">
        <v>21</v>
      </c>
      <c r="M505">
        <f t="shared" si="21"/>
        <v>459.37299999999999</v>
      </c>
      <c r="N505" s="6">
        <f t="shared" si="22"/>
        <v>0.11640213943788601</v>
      </c>
      <c r="O505" s="6" t="str">
        <f t="shared" si="23"/>
        <v>Apr</v>
      </c>
    </row>
    <row r="506" spans="1:15">
      <c r="A506" t="s">
        <v>747</v>
      </c>
      <c r="B506" s="2">
        <v>45944</v>
      </c>
      <c r="C506" t="s">
        <v>373</v>
      </c>
      <c r="D506" t="s">
        <v>146</v>
      </c>
      <c r="E506" t="s">
        <v>25</v>
      </c>
      <c r="F506" t="s">
        <v>19</v>
      </c>
      <c r="G506" s="10">
        <v>2</v>
      </c>
      <c r="H506">
        <v>9286.2900000000009</v>
      </c>
      <c r="I506" s="6">
        <v>0</v>
      </c>
      <c r="J506" s="8">
        <v>1310.3499999999999</v>
      </c>
      <c r="K506" s="4" t="s">
        <v>27</v>
      </c>
      <c r="L506" t="s">
        <v>36</v>
      </c>
      <c r="M506">
        <f t="shared" si="21"/>
        <v>0</v>
      </c>
      <c r="N506" s="6">
        <f t="shared" si="22"/>
        <v>0.14110586682087248</v>
      </c>
      <c r="O506" s="6" t="str">
        <f t="shared" si="23"/>
        <v>Oct</v>
      </c>
    </row>
    <row r="507" spans="1:15">
      <c r="A507" t="s">
        <v>748</v>
      </c>
      <c r="B507" s="2">
        <v>45783</v>
      </c>
      <c r="C507" t="s">
        <v>356</v>
      </c>
      <c r="D507" t="s">
        <v>250</v>
      </c>
      <c r="E507" t="s">
        <v>76</v>
      </c>
      <c r="F507" t="s">
        <v>70</v>
      </c>
      <c r="G507" s="10">
        <v>4</v>
      </c>
      <c r="H507">
        <v>9188.01</v>
      </c>
      <c r="I507" s="6">
        <v>0.05</v>
      </c>
      <c r="J507" s="8">
        <v>2449.46</v>
      </c>
      <c r="K507" s="4" t="s">
        <v>42</v>
      </c>
      <c r="L507" t="s">
        <v>21</v>
      </c>
      <c r="M507">
        <f t="shared" si="21"/>
        <v>459.40050000000002</v>
      </c>
      <c r="N507" s="6">
        <f t="shared" si="22"/>
        <v>0.26659309251949009</v>
      </c>
      <c r="O507" s="6" t="str">
        <f t="shared" si="23"/>
        <v>May</v>
      </c>
    </row>
    <row r="508" spans="1:15">
      <c r="A508" t="s">
        <v>749</v>
      </c>
      <c r="B508" s="2">
        <v>45866</v>
      </c>
      <c r="C508" t="s">
        <v>63</v>
      </c>
      <c r="D508" t="s">
        <v>72</v>
      </c>
      <c r="E508" t="s">
        <v>69</v>
      </c>
      <c r="F508" t="s">
        <v>107</v>
      </c>
      <c r="G508" s="10">
        <v>3</v>
      </c>
      <c r="H508">
        <v>148827.76</v>
      </c>
      <c r="I508" s="6">
        <v>0.05</v>
      </c>
      <c r="J508" s="8">
        <v>21210.58</v>
      </c>
      <c r="K508" s="4" t="s">
        <v>65</v>
      </c>
      <c r="L508" t="s">
        <v>21</v>
      </c>
      <c r="M508">
        <f t="shared" si="21"/>
        <v>7441.3880000000008</v>
      </c>
      <c r="N508" s="6">
        <f t="shared" si="22"/>
        <v>0.14251763246319102</v>
      </c>
      <c r="O508" s="6" t="str">
        <f t="shared" si="23"/>
        <v>Jul</v>
      </c>
    </row>
    <row r="509" spans="1:15">
      <c r="A509" t="s">
        <v>750</v>
      </c>
      <c r="B509" s="2">
        <v>45682</v>
      </c>
      <c r="C509" t="s">
        <v>141</v>
      </c>
      <c r="D509" t="s">
        <v>126</v>
      </c>
      <c r="E509" t="s">
        <v>76</v>
      </c>
      <c r="F509" t="s">
        <v>19</v>
      </c>
      <c r="G509" s="10">
        <v>5</v>
      </c>
      <c r="H509">
        <v>22902.85</v>
      </c>
      <c r="I509" s="6">
        <v>0.2</v>
      </c>
      <c r="J509" s="8">
        <v>3707.38</v>
      </c>
      <c r="K509" s="4" t="s">
        <v>65</v>
      </c>
      <c r="L509" t="s">
        <v>36</v>
      </c>
      <c r="M509">
        <f t="shared" si="21"/>
        <v>4580.57</v>
      </c>
      <c r="N509" s="6">
        <f t="shared" si="22"/>
        <v>0.16187417723121797</v>
      </c>
      <c r="O509" s="6" t="str">
        <f t="shared" si="23"/>
        <v>Jan</v>
      </c>
    </row>
    <row r="510" spans="1:15">
      <c r="A510" t="s">
        <v>751</v>
      </c>
      <c r="B510" s="2">
        <v>46009</v>
      </c>
      <c r="C510" t="s">
        <v>412</v>
      </c>
      <c r="D510" t="s">
        <v>50</v>
      </c>
      <c r="E510" t="s">
        <v>40</v>
      </c>
      <c r="F510" t="s">
        <v>35</v>
      </c>
      <c r="G510" s="10">
        <v>1</v>
      </c>
      <c r="H510">
        <v>802.49</v>
      </c>
      <c r="I510" s="6">
        <v>0</v>
      </c>
      <c r="J510" s="8">
        <v>121.15</v>
      </c>
      <c r="K510" s="4" t="s">
        <v>27</v>
      </c>
      <c r="L510" t="s">
        <v>21</v>
      </c>
      <c r="M510">
        <f t="shared" si="21"/>
        <v>0</v>
      </c>
      <c r="N510" s="6">
        <f t="shared" si="22"/>
        <v>0.15096761330359257</v>
      </c>
      <c r="O510" s="6" t="str">
        <f t="shared" si="23"/>
        <v>Dec</v>
      </c>
    </row>
    <row r="511" spans="1:15">
      <c r="A511" t="s">
        <v>752</v>
      </c>
      <c r="B511" s="2">
        <v>45809</v>
      </c>
      <c r="C511" t="s">
        <v>673</v>
      </c>
      <c r="D511" t="s">
        <v>39</v>
      </c>
      <c r="E511" t="s">
        <v>40</v>
      </c>
      <c r="F511" t="s">
        <v>107</v>
      </c>
      <c r="G511" s="10">
        <v>2</v>
      </c>
      <c r="H511">
        <v>2760.24</v>
      </c>
      <c r="I511" s="6">
        <v>0.05</v>
      </c>
      <c r="J511" s="8">
        <v>630.14</v>
      </c>
      <c r="K511" s="4" t="s">
        <v>27</v>
      </c>
      <c r="L511" t="s">
        <v>36</v>
      </c>
      <c r="M511">
        <f t="shared" si="21"/>
        <v>138.012</v>
      </c>
      <c r="N511" s="6">
        <f t="shared" si="22"/>
        <v>0.22829174274700753</v>
      </c>
      <c r="O511" s="6" t="str">
        <f t="shared" si="23"/>
        <v>Jun</v>
      </c>
    </row>
    <row r="512" spans="1:15">
      <c r="A512" t="s">
        <v>753</v>
      </c>
      <c r="B512" s="2">
        <v>45995</v>
      </c>
      <c r="C512" t="s">
        <v>383</v>
      </c>
      <c r="D512" t="s">
        <v>114</v>
      </c>
      <c r="E512" t="s">
        <v>69</v>
      </c>
      <c r="F512" t="s">
        <v>70</v>
      </c>
      <c r="G512" s="10">
        <v>3</v>
      </c>
      <c r="H512">
        <v>130072.4</v>
      </c>
      <c r="I512" s="6">
        <v>0.1</v>
      </c>
      <c r="J512" s="8">
        <v>10331.76</v>
      </c>
      <c r="K512" s="4" t="s">
        <v>42</v>
      </c>
      <c r="L512" t="s">
        <v>36</v>
      </c>
      <c r="M512">
        <f t="shared" si="21"/>
        <v>13007.24</v>
      </c>
      <c r="N512" s="6">
        <f t="shared" si="22"/>
        <v>7.9430840055230781E-2</v>
      </c>
      <c r="O512" s="6" t="str">
        <f t="shared" si="23"/>
        <v>Dec</v>
      </c>
    </row>
    <row r="513" spans="1:15">
      <c r="A513" t="s">
        <v>754</v>
      </c>
      <c r="B513" s="2">
        <v>45683</v>
      </c>
      <c r="C513" t="s">
        <v>204</v>
      </c>
      <c r="D513" t="s">
        <v>146</v>
      </c>
      <c r="E513" t="s">
        <v>25</v>
      </c>
      <c r="F513" t="s">
        <v>107</v>
      </c>
      <c r="G513" s="10">
        <v>1</v>
      </c>
      <c r="H513">
        <v>2662.24</v>
      </c>
      <c r="I513" s="6">
        <v>0.25</v>
      </c>
      <c r="J513" s="8">
        <v>728.78</v>
      </c>
      <c r="K513" s="4" t="s">
        <v>32</v>
      </c>
      <c r="L513" t="s">
        <v>21</v>
      </c>
      <c r="M513">
        <f t="shared" si="21"/>
        <v>665.56</v>
      </c>
      <c r="N513" s="6">
        <f t="shared" si="22"/>
        <v>0.27374691988701244</v>
      </c>
      <c r="O513" s="6" t="str">
        <f t="shared" si="23"/>
        <v>Jan</v>
      </c>
    </row>
    <row r="514" spans="1:15">
      <c r="A514" t="s">
        <v>755</v>
      </c>
      <c r="B514" s="2">
        <v>45733</v>
      </c>
      <c r="C514" t="s">
        <v>485</v>
      </c>
      <c r="D514" t="s">
        <v>75</v>
      </c>
      <c r="E514" t="s">
        <v>76</v>
      </c>
      <c r="F514" t="s">
        <v>70</v>
      </c>
      <c r="G514" s="10">
        <v>1</v>
      </c>
      <c r="H514">
        <v>4524.1000000000004</v>
      </c>
      <c r="I514" s="6">
        <v>0.1</v>
      </c>
      <c r="J514" s="8">
        <v>640.04</v>
      </c>
      <c r="K514" s="4" t="s">
        <v>42</v>
      </c>
      <c r="L514" t="s">
        <v>21</v>
      </c>
      <c r="M514">
        <f t="shared" si="21"/>
        <v>452.41000000000008</v>
      </c>
      <c r="N514" s="6">
        <f t="shared" si="22"/>
        <v>0.14147344223160405</v>
      </c>
      <c r="O514" s="6" t="str">
        <f t="shared" si="23"/>
        <v>Mar</v>
      </c>
    </row>
    <row r="515" spans="1:15">
      <c r="A515" t="s">
        <v>756</v>
      </c>
      <c r="B515" s="2">
        <v>45975</v>
      </c>
      <c r="C515" t="s">
        <v>350</v>
      </c>
      <c r="D515" t="s">
        <v>17</v>
      </c>
      <c r="E515" t="s">
        <v>18</v>
      </c>
      <c r="F515" t="s">
        <v>19</v>
      </c>
      <c r="G515" s="10">
        <v>1</v>
      </c>
      <c r="H515">
        <v>375.06</v>
      </c>
      <c r="I515" s="6">
        <v>0.05</v>
      </c>
      <c r="J515" s="8">
        <v>29.35</v>
      </c>
      <c r="K515" s="4" t="s">
        <v>20</v>
      </c>
      <c r="L515" t="s">
        <v>21</v>
      </c>
      <c r="M515">
        <f t="shared" ref="M515:M578" si="24">H515*I515</f>
        <v>18.753</v>
      </c>
      <c r="N515" s="6">
        <f t="shared" ref="N515:N578" si="25">IFERROR(J515/H515,0)</f>
        <v>7.8254146003306144E-2</v>
      </c>
      <c r="O515" s="6" t="str">
        <f t="shared" ref="O515:O578" si="26">TEXT(B515,"mmm")</f>
        <v>Nov</v>
      </c>
    </row>
    <row r="516" spans="1:15">
      <c r="A516" t="s">
        <v>757</v>
      </c>
      <c r="B516" s="2">
        <v>45956</v>
      </c>
      <c r="C516" t="s">
        <v>310</v>
      </c>
      <c r="D516" t="s">
        <v>30</v>
      </c>
      <c r="E516" t="s">
        <v>18</v>
      </c>
      <c r="F516" t="s">
        <v>31</v>
      </c>
      <c r="G516" s="10">
        <v>2</v>
      </c>
      <c r="H516">
        <v>1950.89</v>
      </c>
      <c r="I516" s="6">
        <v>0</v>
      </c>
      <c r="J516" s="8">
        <v>439.71</v>
      </c>
      <c r="K516" s="4" t="s">
        <v>32</v>
      </c>
      <c r="L516" t="s">
        <v>21</v>
      </c>
      <c r="M516">
        <f t="shared" si="24"/>
        <v>0</v>
      </c>
      <c r="N516" s="6">
        <f t="shared" si="25"/>
        <v>0.22538943764128164</v>
      </c>
      <c r="O516" s="6" t="str">
        <f t="shared" si="26"/>
        <v>Oct</v>
      </c>
    </row>
    <row r="517" spans="1:15">
      <c r="A517" t="s">
        <v>758</v>
      </c>
      <c r="B517" s="2">
        <v>45765</v>
      </c>
      <c r="C517" t="s">
        <v>23</v>
      </c>
      <c r="D517" t="s">
        <v>39</v>
      </c>
      <c r="E517" t="s">
        <v>40</v>
      </c>
      <c r="F517" t="s">
        <v>77</v>
      </c>
      <c r="G517" s="10">
        <v>1</v>
      </c>
      <c r="H517">
        <v>1929.84</v>
      </c>
      <c r="I517" s="6">
        <v>0.15</v>
      </c>
      <c r="J517" s="8">
        <v>334.07</v>
      </c>
      <c r="K517" s="4" t="s">
        <v>27</v>
      </c>
      <c r="L517" t="s">
        <v>21</v>
      </c>
      <c r="M517">
        <f t="shared" si="24"/>
        <v>289.476</v>
      </c>
      <c r="N517" s="6">
        <f t="shared" si="25"/>
        <v>0.17310761513907888</v>
      </c>
      <c r="O517" s="6" t="str">
        <f t="shared" si="26"/>
        <v>Apr</v>
      </c>
    </row>
    <row r="518" spans="1:15">
      <c r="A518" t="s">
        <v>759</v>
      </c>
      <c r="B518" s="2">
        <v>45723</v>
      </c>
      <c r="C518" t="s">
        <v>319</v>
      </c>
      <c r="D518" t="s">
        <v>64</v>
      </c>
      <c r="E518" t="s">
        <v>40</v>
      </c>
      <c r="F518" t="s">
        <v>26</v>
      </c>
      <c r="G518" s="10">
        <v>2</v>
      </c>
      <c r="H518">
        <v>3918.22</v>
      </c>
      <c r="I518" s="6">
        <v>0.2</v>
      </c>
      <c r="J518" s="8">
        <v>753.73</v>
      </c>
      <c r="K518" s="4" t="s">
        <v>27</v>
      </c>
      <c r="L518" t="s">
        <v>36</v>
      </c>
      <c r="M518">
        <f t="shared" si="24"/>
        <v>783.64400000000001</v>
      </c>
      <c r="N518" s="6">
        <f t="shared" si="25"/>
        <v>0.19236541082430289</v>
      </c>
      <c r="O518" s="6" t="str">
        <f t="shared" si="26"/>
        <v>Mar</v>
      </c>
    </row>
    <row r="519" spans="1:15">
      <c r="A519" t="s">
        <v>760</v>
      </c>
      <c r="B519" s="2">
        <v>45925</v>
      </c>
      <c r="C519" t="s">
        <v>673</v>
      </c>
      <c r="D519" t="s">
        <v>53</v>
      </c>
      <c r="E519" t="s">
        <v>25</v>
      </c>
      <c r="F519" t="s">
        <v>107</v>
      </c>
      <c r="G519" s="10">
        <v>2</v>
      </c>
      <c r="H519">
        <v>6481.64</v>
      </c>
      <c r="I519" s="6">
        <v>0.25</v>
      </c>
      <c r="J519" s="8">
        <v>1247.83</v>
      </c>
      <c r="K519" s="4" t="s">
        <v>20</v>
      </c>
      <c r="L519" t="s">
        <v>21</v>
      </c>
      <c r="M519">
        <f t="shared" si="24"/>
        <v>1620.41</v>
      </c>
      <c r="N519" s="6">
        <f t="shared" si="25"/>
        <v>0.19251763442585518</v>
      </c>
      <c r="O519" s="6" t="str">
        <f t="shared" si="26"/>
        <v>Sep</v>
      </c>
    </row>
    <row r="520" spans="1:15">
      <c r="A520" t="s">
        <v>761</v>
      </c>
      <c r="B520" s="2">
        <v>45780</v>
      </c>
      <c r="C520" t="s">
        <v>204</v>
      </c>
      <c r="D520" t="s">
        <v>250</v>
      </c>
      <c r="E520" t="s">
        <v>76</v>
      </c>
      <c r="F520" t="s">
        <v>70</v>
      </c>
      <c r="G520" s="10">
        <v>5</v>
      </c>
      <c r="H520">
        <v>27934.720000000001</v>
      </c>
      <c r="I520" s="6">
        <v>0.1</v>
      </c>
      <c r="J520" s="8">
        <v>3352.58</v>
      </c>
      <c r="K520" s="4" t="s">
        <v>20</v>
      </c>
      <c r="L520" t="s">
        <v>21</v>
      </c>
      <c r="M520">
        <f t="shared" si="24"/>
        <v>2793.4720000000002</v>
      </c>
      <c r="N520" s="6">
        <f t="shared" si="25"/>
        <v>0.12001480594758064</v>
      </c>
      <c r="O520" s="6" t="str">
        <f t="shared" si="26"/>
        <v>May</v>
      </c>
    </row>
    <row r="521" spans="1:15">
      <c r="A521" t="s">
        <v>762</v>
      </c>
      <c r="B521" s="2">
        <v>45800</v>
      </c>
      <c r="C521" t="s">
        <v>763</v>
      </c>
      <c r="D521" t="s">
        <v>24</v>
      </c>
      <c r="E521" t="s">
        <v>25</v>
      </c>
      <c r="F521" t="s">
        <v>107</v>
      </c>
      <c r="G521" s="10">
        <v>3</v>
      </c>
      <c r="H521">
        <v>2586.84</v>
      </c>
      <c r="I521" s="6">
        <v>0.2</v>
      </c>
      <c r="J521" s="8">
        <v>445.88</v>
      </c>
      <c r="K521" s="4" t="s">
        <v>65</v>
      </c>
      <c r="L521" t="s">
        <v>21</v>
      </c>
      <c r="M521">
        <f t="shared" si="24"/>
        <v>517.36800000000005</v>
      </c>
      <c r="N521" s="6">
        <f t="shared" si="25"/>
        <v>0.1723647384453619</v>
      </c>
      <c r="O521" s="6" t="str">
        <f t="shared" si="26"/>
        <v>May</v>
      </c>
    </row>
    <row r="522" spans="1:15">
      <c r="A522" t="s">
        <v>764</v>
      </c>
      <c r="B522" s="2">
        <v>45985</v>
      </c>
      <c r="C522" t="s">
        <v>763</v>
      </c>
      <c r="D522" t="s">
        <v>50</v>
      </c>
      <c r="E522" t="s">
        <v>40</v>
      </c>
      <c r="F522" t="s">
        <v>35</v>
      </c>
      <c r="G522" s="10">
        <v>2</v>
      </c>
      <c r="H522">
        <v>3151.06</v>
      </c>
      <c r="I522" s="6">
        <v>0.1</v>
      </c>
      <c r="J522" s="8">
        <v>430.99</v>
      </c>
      <c r="K522" s="4" t="s">
        <v>42</v>
      </c>
      <c r="L522" t="s">
        <v>36</v>
      </c>
      <c r="M522">
        <f t="shared" si="24"/>
        <v>315.10599999999999</v>
      </c>
      <c r="N522" s="6">
        <f t="shared" si="25"/>
        <v>0.13677619594676077</v>
      </c>
      <c r="O522" s="6" t="str">
        <f t="shared" si="26"/>
        <v>Nov</v>
      </c>
    </row>
    <row r="523" spans="1:15">
      <c r="A523" t="s">
        <v>765</v>
      </c>
      <c r="B523" s="2">
        <v>45779</v>
      </c>
      <c r="C523" t="s">
        <v>190</v>
      </c>
      <c r="D523" t="s">
        <v>126</v>
      </c>
      <c r="E523" t="s">
        <v>76</v>
      </c>
      <c r="F523" t="s">
        <v>31</v>
      </c>
      <c r="G523" s="10">
        <v>1</v>
      </c>
      <c r="H523">
        <v>1694.17</v>
      </c>
      <c r="I523" s="6">
        <v>0.25</v>
      </c>
      <c r="J523" s="8">
        <v>405.34</v>
      </c>
      <c r="K523" s="4" t="s">
        <v>42</v>
      </c>
      <c r="L523" t="s">
        <v>36</v>
      </c>
      <c r="M523">
        <f t="shared" si="24"/>
        <v>423.54250000000002</v>
      </c>
      <c r="N523" s="6">
        <f t="shared" si="25"/>
        <v>0.23925580077560102</v>
      </c>
      <c r="O523" s="6" t="str">
        <f t="shared" si="26"/>
        <v>May</v>
      </c>
    </row>
    <row r="524" spans="1:15">
      <c r="A524" t="s">
        <v>766</v>
      </c>
      <c r="B524" s="2">
        <v>45871</v>
      </c>
      <c r="C524" t="s">
        <v>158</v>
      </c>
      <c r="D524" t="s">
        <v>95</v>
      </c>
      <c r="E524" t="s">
        <v>76</v>
      </c>
      <c r="F524" t="s">
        <v>35</v>
      </c>
      <c r="G524" s="10">
        <v>1</v>
      </c>
      <c r="H524">
        <v>11649.9</v>
      </c>
      <c r="I524" s="6">
        <v>0.2</v>
      </c>
      <c r="J524" s="8">
        <v>1193.5</v>
      </c>
      <c r="K524" s="4" t="s">
        <v>27</v>
      </c>
      <c r="L524" t="s">
        <v>36</v>
      </c>
      <c r="M524">
        <f t="shared" si="24"/>
        <v>2329.98</v>
      </c>
      <c r="N524" s="6">
        <f t="shared" si="25"/>
        <v>0.10244723130670649</v>
      </c>
      <c r="O524" s="6" t="str">
        <f t="shared" si="26"/>
        <v>Aug</v>
      </c>
    </row>
    <row r="525" spans="1:15">
      <c r="A525" t="s">
        <v>767</v>
      </c>
      <c r="B525" s="2">
        <v>45797</v>
      </c>
      <c r="C525" t="s">
        <v>763</v>
      </c>
      <c r="D525" t="s">
        <v>56</v>
      </c>
      <c r="E525" t="s">
        <v>40</v>
      </c>
      <c r="F525" t="s">
        <v>35</v>
      </c>
      <c r="G525" s="10">
        <v>1</v>
      </c>
      <c r="H525">
        <v>1109.3599999999999</v>
      </c>
      <c r="I525" s="6">
        <v>0.05</v>
      </c>
      <c r="J525" s="8">
        <v>147.33000000000001</v>
      </c>
      <c r="K525" s="4" t="s">
        <v>20</v>
      </c>
      <c r="L525" t="s">
        <v>21</v>
      </c>
      <c r="M525">
        <f t="shared" si="24"/>
        <v>55.467999999999996</v>
      </c>
      <c r="N525" s="6">
        <f t="shared" si="25"/>
        <v>0.1328063027331074</v>
      </c>
      <c r="O525" s="6" t="str">
        <f t="shared" si="26"/>
        <v>May</v>
      </c>
    </row>
    <row r="526" spans="1:15">
      <c r="A526" t="s">
        <v>768</v>
      </c>
      <c r="B526" s="2">
        <v>45910</v>
      </c>
      <c r="C526" t="s">
        <v>552</v>
      </c>
      <c r="D526" t="s">
        <v>17</v>
      </c>
      <c r="E526" t="s">
        <v>18</v>
      </c>
      <c r="F526" t="s">
        <v>26</v>
      </c>
      <c r="G526" s="10">
        <v>2</v>
      </c>
      <c r="H526">
        <v>2002.67</v>
      </c>
      <c r="I526" s="6">
        <v>0.2</v>
      </c>
      <c r="J526" s="8">
        <v>214.92</v>
      </c>
      <c r="K526" s="4" t="s">
        <v>65</v>
      </c>
      <c r="L526" t="s">
        <v>36</v>
      </c>
      <c r="M526">
        <f t="shared" si="24"/>
        <v>400.53400000000005</v>
      </c>
      <c r="N526" s="6">
        <f t="shared" si="25"/>
        <v>0.10731673216256297</v>
      </c>
      <c r="O526" s="6" t="str">
        <f t="shared" si="26"/>
        <v>Sep</v>
      </c>
    </row>
    <row r="527" spans="1:15">
      <c r="A527" t="s">
        <v>769</v>
      </c>
      <c r="B527" s="2">
        <v>45701</v>
      </c>
      <c r="C527" t="s">
        <v>135</v>
      </c>
      <c r="D527" t="s">
        <v>64</v>
      </c>
      <c r="E527" t="s">
        <v>40</v>
      </c>
      <c r="F527" t="s">
        <v>77</v>
      </c>
      <c r="G527" s="10">
        <v>2</v>
      </c>
      <c r="H527">
        <v>4410.29</v>
      </c>
      <c r="I527" s="6">
        <v>0.05</v>
      </c>
      <c r="J527" s="8">
        <v>291.01</v>
      </c>
      <c r="K527" s="4" t="s">
        <v>32</v>
      </c>
      <c r="L527" t="s">
        <v>36</v>
      </c>
      <c r="M527">
        <f t="shared" si="24"/>
        <v>220.5145</v>
      </c>
      <c r="N527" s="6">
        <f t="shared" si="25"/>
        <v>6.5984323026376954E-2</v>
      </c>
      <c r="O527" s="6" t="str">
        <f t="shared" si="26"/>
        <v>Feb</v>
      </c>
    </row>
    <row r="528" spans="1:15">
      <c r="A528" t="s">
        <v>770</v>
      </c>
      <c r="B528" s="2">
        <v>45696</v>
      </c>
      <c r="C528" t="s">
        <v>242</v>
      </c>
      <c r="D528" t="s">
        <v>61</v>
      </c>
      <c r="E528" t="s">
        <v>40</v>
      </c>
      <c r="F528" t="s">
        <v>19</v>
      </c>
      <c r="G528" s="10">
        <v>1</v>
      </c>
      <c r="H528">
        <v>1033.25</v>
      </c>
      <c r="I528" s="6">
        <v>0.15</v>
      </c>
      <c r="J528" s="8">
        <v>72.180000000000007</v>
      </c>
      <c r="K528" s="4" t="s">
        <v>27</v>
      </c>
      <c r="L528" t="s">
        <v>36</v>
      </c>
      <c r="M528">
        <f t="shared" si="24"/>
        <v>154.98749999999998</v>
      </c>
      <c r="N528" s="6">
        <f t="shared" si="25"/>
        <v>6.9857246552141303E-2</v>
      </c>
      <c r="O528" s="6" t="str">
        <f t="shared" si="26"/>
        <v>Feb</v>
      </c>
    </row>
    <row r="529" spans="1:15">
      <c r="A529" t="s">
        <v>771</v>
      </c>
      <c r="B529" s="2">
        <v>45689</v>
      </c>
      <c r="C529" t="s">
        <v>252</v>
      </c>
      <c r="D529" t="s">
        <v>90</v>
      </c>
      <c r="E529" t="s">
        <v>69</v>
      </c>
      <c r="F529" t="s">
        <v>19</v>
      </c>
      <c r="G529" s="10">
        <v>2</v>
      </c>
      <c r="H529">
        <v>68095.92</v>
      </c>
      <c r="I529" s="6">
        <v>0.1</v>
      </c>
      <c r="J529" s="8">
        <v>16215.92</v>
      </c>
      <c r="K529" s="4" t="s">
        <v>20</v>
      </c>
      <c r="L529" t="s">
        <v>21</v>
      </c>
      <c r="M529">
        <f t="shared" si="24"/>
        <v>6809.5920000000006</v>
      </c>
      <c r="N529" s="6">
        <f t="shared" si="25"/>
        <v>0.23813350344631515</v>
      </c>
      <c r="O529" s="6" t="str">
        <f t="shared" si="26"/>
        <v>Feb</v>
      </c>
    </row>
    <row r="530" spans="1:15">
      <c r="A530" t="s">
        <v>772</v>
      </c>
      <c r="B530" s="2">
        <v>45675</v>
      </c>
      <c r="C530" t="s">
        <v>23</v>
      </c>
      <c r="D530" t="s">
        <v>114</v>
      </c>
      <c r="E530" t="s">
        <v>69</v>
      </c>
      <c r="F530" t="s">
        <v>77</v>
      </c>
      <c r="G530" s="10">
        <v>1</v>
      </c>
      <c r="H530">
        <v>22140.28</v>
      </c>
      <c r="I530" s="6">
        <v>0.15</v>
      </c>
      <c r="J530" s="8">
        <v>3447.08</v>
      </c>
      <c r="K530" s="4" t="s">
        <v>27</v>
      </c>
      <c r="L530" t="s">
        <v>36</v>
      </c>
      <c r="M530">
        <f t="shared" si="24"/>
        <v>3321.0419999999999</v>
      </c>
      <c r="N530" s="6">
        <f t="shared" si="25"/>
        <v>0.15569270126665066</v>
      </c>
      <c r="O530" s="6" t="str">
        <f t="shared" si="26"/>
        <v>Jan</v>
      </c>
    </row>
    <row r="531" spans="1:15">
      <c r="A531" t="s">
        <v>773</v>
      </c>
      <c r="B531" s="2">
        <v>46000</v>
      </c>
      <c r="C531" t="s">
        <v>230</v>
      </c>
      <c r="D531" t="s">
        <v>64</v>
      </c>
      <c r="E531" t="s">
        <v>40</v>
      </c>
      <c r="F531" t="s">
        <v>31</v>
      </c>
      <c r="G531" s="10">
        <v>4</v>
      </c>
      <c r="H531">
        <v>9442.42</v>
      </c>
      <c r="I531" s="6">
        <v>0.05</v>
      </c>
      <c r="J531" s="8">
        <v>2443.83</v>
      </c>
      <c r="K531" s="4" t="s">
        <v>20</v>
      </c>
      <c r="L531" t="s">
        <v>21</v>
      </c>
      <c r="M531">
        <f t="shared" si="24"/>
        <v>472.12100000000004</v>
      </c>
      <c r="N531" s="6">
        <f t="shared" si="25"/>
        <v>0.25881394811923214</v>
      </c>
      <c r="O531" s="6" t="str">
        <f t="shared" si="26"/>
        <v>Dec</v>
      </c>
    </row>
    <row r="532" spans="1:15">
      <c r="A532" t="s">
        <v>774</v>
      </c>
      <c r="B532" s="2">
        <v>45867</v>
      </c>
      <c r="C532" t="s">
        <v>700</v>
      </c>
      <c r="D532" t="s">
        <v>45</v>
      </c>
      <c r="E532" t="s">
        <v>18</v>
      </c>
      <c r="F532" t="s">
        <v>41</v>
      </c>
      <c r="G532" s="10">
        <v>5</v>
      </c>
      <c r="H532">
        <v>6185.29</v>
      </c>
      <c r="I532" s="6">
        <v>0.05</v>
      </c>
      <c r="J532" s="8">
        <v>1456.23</v>
      </c>
      <c r="K532" s="4" t="s">
        <v>42</v>
      </c>
      <c r="L532" t="s">
        <v>21</v>
      </c>
      <c r="M532">
        <f t="shared" si="24"/>
        <v>309.2645</v>
      </c>
      <c r="N532" s="6">
        <f t="shared" si="25"/>
        <v>0.23543439353692389</v>
      </c>
      <c r="O532" s="6" t="str">
        <f t="shared" si="26"/>
        <v>Jul</v>
      </c>
    </row>
    <row r="533" spans="1:15">
      <c r="A533" t="s">
        <v>775</v>
      </c>
      <c r="B533" s="2">
        <v>45675</v>
      </c>
      <c r="C533" t="s">
        <v>187</v>
      </c>
      <c r="D533" t="s">
        <v>50</v>
      </c>
      <c r="E533" t="s">
        <v>40</v>
      </c>
      <c r="F533" t="s">
        <v>107</v>
      </c>
      <c r="G533" s="10">
        <v>1</v>
      </c>
      <c r="H533">
        <v>1407.41</v>
      </c>
      <c r="I533" s="6">
        <v>0.05</v>
      </c>
      <c r="J533" s="8">
        <v>267.72000000000003</v>
      </c>
      <c r="K533" s="4" t="s">
        <v>32</v>
      </c>
      <c r="L533" t="s">
        <v>21</v>
      </c>
      <c r="M533">
        <f t="shared" si="24"/>
        <v>70.370500000000007</v>
      </c>
      <c r="N533" s="6">
        <f t="shared" si="25"/>
        <v>0.19022175485466211</v>
      </c>
      <c r="O533" s="6" t="str">
        <f t="shared" si="26"/>
        <v>Jan</v>
      </c>
    </row>
    <row r="534" spans="1:15">
      <c r="A534" t="s">
        <v>776</v>
      </c>
      <c r="B534" s="2">
        <v>45765</v>
      </c>
      <c r="C534" t="s">
        <v>194</v>
      </c>
      <c r="D534" t="s">
        <v>146</v>
      </c>
      <c r="E534" t="s">
        <v>25</v>
      </c>
      <c r="F534" t="s">
        <v>107</v>
      </c>
      <c r="G534" s="10">
        <v>4</v>
      </c>
      <c r="H534">
        <v>8973.7199999999993</v>
      </c>
      <c r="I534" s="6">
        <v>0.2</v>
      </c>
      <c r="J534" s="8">
        <v>1880.16</v>
      </c>
      <c r="K534" s="4" t="s">
        <v>27</v>
      </c>
      <c r="L534" t="s">
        <v>21</v>
      </c>
      <c r="M534">
        <f t="shared" si="24"/>
        <v>1794.7439999999999</v>
      </c>
      <c r="N534" s="6">
        <f t="shared" si="25"/>
        <v>0.20951846057153559</v>
      </c>
      <c r="O534" s="6" t="str">
        <f t="shared" si="26"/>
        <v>Apr</v>
      </c>
    </row>
    <row r="535" spans="1:15">
      <c r="A535" t="s">
        <v>777</v>
      </c>
      <c r="B535" s="2">
        <v>45689</v>
      </c>
      <c r="C535" t="s">
        <v>321</v>
      </c>
      <c r="D535" t="s">
        <v>217</v>
      </c>
      <c r="E535" t="s">
        <v>18</v>
      </c>
      <c r="F535" t="s">
        <v>107</v>
      </c>
      <c r="G535" s="10">
        <v>5</v>
      </c>
      <c r="H535">
        <v>10088.52</v>
      </c>
      <c r="I535" s="6">
        <v>0.1</v>
      </c>
      <c r="J535" s="8">
        <v>2551.33</v>
      </c>
      <c r="K535" s="4" t="s">
        <v>27</v>
      </c>
      <c r="L535" t="s">
        <v>21</v>
      </c>
      <c r="M535">
        <f t="shared" si="24"/>
        <v>1008.8520000000001</v>
      </c>
      <c r="N535" s="6">
        <f t="shared" si="25"/>
        <v>0.25289437895746847</v>
      </c>
      <c r="O535" s="6" t="str">
        <f t="shared" si="26"/>
        <v>Feb</v>
      </c>
    </row>
    <row r="536" spans="1:15">
      <c r="A536" t="s">
        <v>778</v>
      </c>
      <c r="B536" s="2">
        <v>45897</v>
      </c>
      <c r="C536" t="s">
        <v>60</v>
      </c>
      <c r="D536" t="s">
        <v>84</v>
      </c>
      <c r="E536" t="s">
        <v>18</v>
      </c>
      <c r="F536" t="s">
        <v>107</v>
      </c>
      <c r="G536" s="10">
        <v>4</v>
      </c>
      <c r="H536">
        <v>12298.06</v>
      </c>
      <c r="I536" s="6">
        <v>0</v>
      </c>
      <c r="J536" s="8">
        <v>1207.1300000000001</v>
      </c>
      <c r="K536" s="4" t="s">
        <v>20</v>
      </c>
      <c r="L536" t="s">
        <v>21</v>
      </c>
      <c r="M536">
        <f t="shared" si="24"/>
        <v>0</v>
      </c>
      <c r="N536" s="6">
        <f t="shared" si="25"/>
        <v>9.8156131942761723E-2</v>
      </c>
      <c r="O536" s="6" t="str">
        <f t="shared" si="26"/>
        <v>Aug</v>
      </c>
    </row>
    <row r="537" spans="1:15">
      <c r="A537" t="s">
        <v>779</v>
      </c>
      <c r="B537" s="2">
        <v>45808</v>
      </c>
      <c r="C537" t="s">
        <v>371</v>
      </c>
      <c r="D537" t="s">
        <v>61</v>
      </c>
      <c r="E537" t="s">
        <v>40</v>
      </c>
      <c r="F537" t="s">
        <v>31</v>
      </c>
      <c r="G537" s="10">
        <v>3</v>
      </c>
      <c r="H537">
        <v>1699.09</v>
      </c>
      <c r="I537" s="6">
        <v>0.2</v>
      </c>
      <c r="J537" s="8">
        <v>447.43</v>
      </c>
      <c r="K537" s="4" t="s">
        <v>20</v>
      </c>
      <c r="L537" t="s">
        <v>36</v>
      </c>
      <c r="M537">
        <f t="shared" si="24"/>
        <v>339.81799999999998</v>
      </c>
      <c r="N537" s="6">
        <f t="shared" si="25"/>
        <v>0.26333507936601358</v>
      </c>
      <c r="O537" s="6" t="str">
        <f t="shared" si="26"/>
        <v>May</v>
      </c>
    </row>
    <row r="538" spans="1:15">
      <c r="A538" t="s">
        <v>780</v>
      </c>
      <c r="B538" s="2">
        <v>46014</v>
      </c>
      <c r="C538" t="s">
        <v>145</v>
      </c>
      <c r="D538" t="s">
        <v>217</v>
      </c>
      <c r="E538" t="s">
        <v>18</v>
      </c>
      <c r="F538" t="s">
        <v>26</v>
      </c>
      <c r="G538" s="10">
        <v>1</v>
      </c>
      <c r="H538">
        <v>450.06</v>
      </c>
      <c r="I538" s="6">
        <v>0.15</v>
      </c>
      <c r="J538" s="8">
        <v>64.489999999999995</v>
      </c>
      <c r="K538" s="4" t="s">
        <v>32</v>
      </c>
      <c r="L538" t="s">
        <v>36</v>
      </c>
      <c r="M538">
        <f t="shared" si="24"/>
        <v>67.509</v>
      </c>
      <c r="N538" s="6">
        <f t="shared" si="25"/>
        <v>0.14329200551037638</v>
      </c>
      <c r="O538" s="6" t="str">
        <f t="shared" si="26"/>
        <v>Dec</v>
      </c>
    </row>
    <row r="539" spans="1:15">
      <c r="A539" t="s">
        <v>781</v>
      </c>
      <c r="B539" s="2">
        <v>45763</v>
      </c>
      <c r="C539" t="s">
        <v>358</v>
      </c>
      <c r="D539" t="s">
        <v>124</v>
      </c>
      <c r="E539" t="s">
        <v>76</v>
      </c>
      <c r="F539" t="s">
        <v>107</v>
      </c>
      <c r="G539" s="10">
        <v>5</v>
      </c>
      <c r="H539">
        <v>38666.06</v>
      </c>
      <c r="I539" s="6">
        <v>0.25</v>
      </c>
      <c r="J539" s="8">
        <v>3274.43</v>
      </c>
      <c r="K539" s="4" t="s">
        <v>65</v>
      </c>
      <c r="L539" t="s">
        <v>36</v>
      </c>
      <c r="M539">
        <f t="shared" si="24"/>
        <v>9666.5149999999994</v>
      </c>
      <c r="N539" s="6">
        <f t="shared" si="25"/>
        <v>8.4684863159059917E-2</v>
      </c>
      <c r="O539" s="6" t="str">
        <f t="shared" si="26"/>
        <v>Apr</v>
      </c>
    </row>
    <row r="540" spans="1:15">
      <c r="A540" t="s">
        <v>782</v>
      </c>
      <c r="B540" s="2">
        <v>45731</v>
      </c>
      <c r="C540" t="s">
        <v>458</v>
      </c>
      <c r="D540" t="s">
        <v>114</v>
      </c>
      <c r="E540" t="s">
        <v>69</v>
      </c>
      <c r="F540" t="s">
        <v>77</v>
      </c>
      <c r="G540" s="10">
        <v>3</v>
      </c>
      <c r="H540">
        <v>117070.82</v>
      </c>
      <c r="I540" s="6">
        <v>0.25</v>
      </c>
      <c r="J540" s="8">
        <v>15488.76</v>
      </c>
      <c r="K540" s="4" t="s">
        <v>32</v>
      </c>
      <c r="L540" t="s">
        <v>36</v>
      </c>
      <c r="M540">
        <f t="shared" si="24"/>
        <v>29267.705000000002</v>
      </c>
      <c r="N540" s="6">
        <f t="shared" si="25"/>
        <v>0.13230248152357693</v>
      </c>
      <c r="O540" s="6" t="str">
        <f t="shared" si="26"/>
        <v>Mar</v>
      </c>
    </row>
    <row r="541" spans="1:15">
      <c r="A541" t="s">
        <v>783</v>
      </c>
      <c r="B541" s="2">
        <v>45949</v>
      </c>
      <c r="C541" t="s">
        <v>784</v>
      </c>
      <c r="D541" t="s">
        <v>45</v>
      </c>
      <c r="E541" t="s">
        <v>18</v>
      </c>
      <c r="F541" t="s">
        <v>107</v>
      </c>
      <c r="G541" s="10">
        <v>1</v>
      </c>
      <c r="H541">
        <v>1652.59</v>
      </c>
      <c r="I541" s="6">
        <v>0.05</v>
      </c>
      <c r="J541" s="8">
        <v>395.01</v>
      </c>
      <c r="K541" s="4" t="s">
        <v>20</v>
      </c>
      <c r="L541" t="s">
        <v>36</v>
      </c>
      <c r="M541">
        <f t="shared" si="24"/>
        <v>82.629500000000007</v>
      </c>
      <c r="N541" s="6">
        <f t="shared" si="25"/>
        <v>0.23902480349027891</v>
      </c>
      <c r="O541" s="6" t="str">
        <f t="shared" si="26"/>
        <v>Oct</v>
      </c>
    </row>
    <row r="542" spans="1:15">
      <c r="A542" t="s">
        <v>785</v>
      </c>
      <c r="B542" s="2">
        <v>45917</v>
      </c>
      <c r="C542" t="s">
        <v>615</v>
      </c>
      <c r="D542" t="s">
        <v>58</v>
      </c>
      <c r="E542" t="s">
        <v>25</v>
      </c>
      <c r="F542" t="s">
        <v>19</v>
      </c>
      <c r="G542" s="10">
        <v>5</v>
      </c>
      <c r="H542">
        <v>12634.37</v>
      </c>
      <c r="I542" s="6">
        <v>0.2</v>
      </c>
      <c r="J542" s="8">
        <v>1537.5</v>
      </c>
      <c r="K542" s="4" t="s">
        <v>42</v>
      </c>
      <c r="L542" t="s">
        <v>36</v>
      </c>
      <c r="M542">
        <f t="shared" si="24"/>
        <v>2526.8740000000003</v>
      </c>
      <c r="N542" s="6">
        <f t="shared" si="25"/>
        <v>0.12169186116917582</v>
      </c>
      <c r="O542" s="6" t="str">
        <f t="shared" si="26"/>
        <v>Sep</v>
      </c>
    </row>
    <row r="543" spans="1:15">
      <c r="A543" t="s">
        <v>786</v>
      </c>
      <c r="B543" s="2">
        <v>45824</v>
      </c>
      <c r="C543" t="s">
        <v>787</v>
      </c>
      <c r="D543" t="s">
        <v>95</v>
      </c>
      <c r="E543" t="s">
        <v>76</v>
      </c>
      <c r="F543" t="s">
        <v>35</v>
      </c>
      <c r="G543" s="10">
        <v>2</v>
      </c>
      <c r="H543">
        <v>3986.02</v>
      </c>
      <c r="I543" s="6">
        <v>0.1</v>
      </c>
      <c r="J543" s="8">
        <v>276.20999999999998</v>
      </c>
      <c r="K543" s="4" t="s">
        <v>27</v>
      </c>
      <c r="L543" t="s">
        <v>21</v>
      </c>
      <c r="M543">
        <f t="shared" si="24"/>
        <v>398.60200000000003</v>
      </c>
      <c r="N543" s="6">
        <f t="shared" si="25"/>
        <v>6.9294684923808705E-2</v>
      </c>
      <c r="O543" s="6" t="str">
        <f t="shared" si="26"/>
        <v>Jun</v>
      </c>
    </row>
    <row r="544" spans="1:15">
      <c r="A544" t="s">
        <v>788</v>
      </c>
      <c r="B544" s="2">
        <v>45981</v>
      </c>
      <c r="C544" t="s">
        <v>496</v>
      </c>
      <c r="D544" t="s">
        <v>30</v>
      </c>
      <c r="E544" t="s">
        <v>18</v>
      </c>
      <c r="F544" t="s">
        <v>19</v>
      </c>
      <c r="G544" s="10">
        <v>2</v>
      </c>
      <c r="H544">
        <v>5623.67</v>
      </c>
      <c r="I544" s="6">
        <v>0.25</v>
      </c>
      <c r="J544" s="8">
        <v>414.57</v>
      </c>
      <c r="K544" s="4" t="s">
        <v>32</v>
      </c>
      <c r="L544" t="s">
        <v>21</v>
      </c>
      <c r="M544">
        <f t="shared" si="24"/>
        <v>1405.9175</v>
      </c>
      <c r="N544" s="6">
        <f t="shared" si="25"/>
        <v>7.3718763725467526E-2</v>
      </c>
      <c r="O544" s="6" t="str">
        <f t="shared" si="26"/>
        <v>Nov</v>
      </c>
    </row>
    <row r="545" spans="1:15">
      <c r="A545" t="s">
        <v>789</v>
      </c>
      <c r="B545" s="2">
        <v>45842</v>
      </c>
      <c r="C545" t="s">
        <v>784</v>
      </c>
      <c r="D545" t="s">
        <v>90</v>
      </c>
      <c r="E545" t="s">
        <v>69</v>
      </c>
      <c r="F545" t="s">
        <v>77</v>
      </c>
      <c r="G545" s="10">
        <v>5</v>
      </c>
      <c r="H545">
        <v>239242.34</v>
      </c>
      <c r="I545" s="6">
        <v>0.15</v>
      </c>
      <c r="J545" s="8">
        <v>65733.05</v>
      </c>
      <c r="K545" s="4" t="s">
        <v>42</v>
      </c>
      <c r="L545" t="s">
        <v>21</v>
      </c>
      <c r="M545">
        <f t="shared" si="24"/>
        <v>35886.350999999995</v>
      </c>
      <c r="N545" s="6">
        <f t="shared" si="25"/>
        <v>0.27475508724751646</v>
      </c>
      <c r="O545" s="6" t="str">
        <f t="shared" si="26"/>
        <v>Jul</v>
      </c>
    </row>
    <row r="546" spans="1:15">
      <c r="A546" t="s">
        <v>790</v>
      </c>
      <c r="B546" s="2">
        <v>45962</v>
      </c>
      <c r="C546" t="s">
        <v>315</v>
      </c>
      <c r="D546" t="s">
        <v>191</v>
      </c>
      <c r="E546" t="s">
        <v>69</v>
      </c>
      <c r="F546" t="s">
        <v>31</v>
      </c>
      <c r="G546" s="10">
        <v>4</v>
      </c>
      <c r="H546">
        <v>122712.28</v>
      </c>
      <c r="I546" s="6">
        <v>0.15</v>
      </c>
      <c r="J546" s="8">
        <v>32512.02</v>
      </c>
      <c r="K546" s="4" t="s">
        <v>20</v>
      </c>
      <c r="L546" t="s">
        <v>36</v>
      </c>
      <c r="M546">
        <f t="shared" si="24"/>
        <v>18406.842000000001</v>
      </c>
      <c r="N546" s="6">
        <f t="shared" si="25"/>
        <v>0.26494512203668613</v>
      </c>
      <c r="O546" s="6" t="str">
        <f t="shared" si="26"/>
        <v>Nov</v>
      </c>
    </row>
    <row r="547" spans="1:15">
      <c r="A547" t="s">
        <v>791</v>
      </c>
      <c r="B547" s="2">
        <v>45802</v>
      </c>
      <c r="C547" t="s">
        <v>356</v>
      </c>
      <c r="D547" t="s">
        <v>17</v>
      </c>
      <c r="E547" t="s">
        <v>18</v>
      </c>
      <c r="F547" t="s">
        <v>77</v>
      </c>
      <c r="G547" s="10">
        <v>2</v>
      </c>
      <c r="H547">
        <v>6101.86</v>
      </c>
      <c r="I547" s="6">
        <v>0.1</v>
      </c>
      <c r="J547" s="8">
        <v>850.43</v>
      </c>
      <c r="K547" s="4" t="s">
        <v>42</v>
      </c>
      <c r="L547" t="s">
        <v>36</v>
      </c>
      <c r="M547">
        <f t="shared" si="24"/>
        <v>610.18600000000004</v>
      </c>
      <c r="N547" s="6">
        <f t="shared" si="25"/>
        <v>0.13937225698393604</v>
      </c>
      <c r="O547" s="6" t="str">
        <f t="shared" si="26"/>
        <v>May</v>
      </c>
    </row>
    <row r="548" spans="1:15">
      <c r="A548" t="s">
        <v>792</v>
      </c>
      <c r="B548" s="2">
        <v>45957</v>
      </c>
      <c r="C548" t="s">
        <v>390</v>
      </c>
      <c r="D548" t="s">
        <v>84</v>
      </c>
      <c r="E548" t="s">
        <v>18</v>
      </c>
      <c r="F548" t="s">
        <v>31</v>
      </c>
      <c r="G548" s="10">
        <v>1</v>
      </c>
      <c r="H548">
        <v>706.78</v>
      </c>
      <c r="I548" s="6">
        <v>0.15</v>
      </c>
      <c r="J548" s="8">
        <v>91.79</v>
      </c>
      <c r="K548" s="4" t="s">
        <v>27</v>
      </c>
      <c r="L548" t="s">
        <v>21</v>
      </c>
      <c r="M548">
        <f t="shared" si="24"/>
        <v>106.017</v>
      </c>
      <c r="N548" s="6">
        <f t="shared" si="25"/>
        <v>0.12987068111717934</v>
      </c>
      <c r="O548" s="6" t="str">
        <f t="shared" si="26"/>
        <v>Oct</v>
      </c>
    </row>
    <row r="549" spans="1:15">
      <c r="A549" t="s">
        <v>793</v>
      </c>
      <c r="B549" s="2">
        <v>45667</v>
      </c>
      <c r="C549" t="s">
        <v>89</v>
      </c>
      <c r="D549" t="s">
        <v>114</v>
      </c>
      <c r="E549" t="s">
        <v>69</v>
      </c>
      <c r="F549" t="s">
        <v>41</v>
      </c>
      <c r="G549" s="10">
        <v>3</v>
      </c>
      <c r="H549">
        <v>172676.57</v>
      </c>
      <c r="I549" s="6">
        <v>0.1</v>
      </c>
      <c r="J549" s="8">
        <v>32766.3</v>
      </c>
      <c r="K549" s="4" t="s">
        <v>20</v>
      </c>
      <c r="L549" t="s">
        <v>21</v>
      </c>
      <c r="M549">
        <f t="shared" si="24"/>
        <v>17267.657000000003</v>
      </c>
      <c r="N549" s="6">
        <f t="shared" si="25"/>
        <v>0.18975533275881029</v>
      </c>
      <c r="O549" s="6" t="str">
        <f t="shared" si="26"/>
        <v>Jan</v>
      </c>
    </row>
    <row r="550" spans="1:15">
      <c r="A550" t="s">
        <v>794</v>
      </c>
      <c r="B550" s="2">
        <v>45726</v>
      </c>
      <c r="C550" t="s">
        <v>439</v>
      </c>
      <c r="D550" t="s">
        <v>68</v>
      </c>
      <c r="E550" t="s">
        <v>69</v>
      </c>
      <c r="F550" t="s">
        <v>31</v>
      </c>
      <c r="G550" s="10">
        <v>2</v>
      </c>
      <c r="H550">
        <v>16032.06</v>
      </c>
      <c r="I550" s="6">
        <v>0.15</v>
      </c>
      <c r="J550" s="8">
        <v>3144.9</v>
      </c>
      <c r="K550" s="4" t="s">
        <v>32</v>
      </c>
      <c r="L550" t="s">
        <v>21</v>
      </c>
      <c r="M550">
        <f t="shared" si="24"/>
        <v>2404.8089999999997</v>
      </c>
      <c r="N550" s="6">
        <f t="shared" si="25"/>
        <v>0.19616318801202093</v>
      </c>
      <c r="O550" s="6" t="str">
        <f t="shared" si="26"/>
        <v>Mar</v>
      </c>
    </row>
    <row r="551" spans="1:15">
      <c r="A551" t="s">
        <v>795</v>
      </c>
      <c r="B551" s="2">
        <v>45754</v>
      </c>
      <c r="C551" t="s">
        <v>310</v>
      </c>
      <c r="D551" t="s">
        <v>114</v>
      </c>
      <c r="E551" t="s">
        <v>69</v>
      </c>
      <c r="F551" t="s">
        <v>77</v>
      </c>
      <c r="G551" s="10">
        <v>5</v>
      </c>
      <c r="H551">
        <v>219495.3</v>
      </c>
      <c r="I551" s="6">
        <v>0.15</v>
      </c>
      <c r="J551" s="8">
        <v>37175.480000000003</v>
      </c>
      <c r="K551" s="4" t="s">
        <v>65</v>
      </c>
      <c r="L551" t="s">
        <v>21</v>
      </c>
      <c r="M551">
        <f t="shared" si="24"/>
        <v>32924.294999999998</v>
      </c>
      <c r="N551" s="6">
        <f t="shared" si="25"/>
        <v>0.16936800013485484</v>
      </c>
      <c r="O551" s="6" t="str">
        <f t="shared" si="26"/>
        <v>Apr</v>
      </c>
    </row>
    <row r="552" spans="1:15">
      <c r="A552" t="s">
        <v>796</v>
      </c>
      <c r="B552" s="2">
        <v>45749</v>
      </c>
      <c r="C552" t="s">
        <v>99</v>
      </c>
      <c r="D552" t="s">
        <v>75</v>
      </c>
      <c r="E552" t="s">
        <v>76</v>
      </c>
      <c r="F552" t="s">
        <v>107</v>
      </c>
      <c r="G552" s="10">
        <v>4</v>
      </c>
      <c r="H552">
        <v>21197.88</v>
      </c>
      <c r="I552" s="6">
        <v>0.25</v>
      </c>
      <c r="J552" s="8">
        <v>5625.67</v>
      </c>
      <c r="K552" s="4" t="s">
        <v>27</v>
      </c>
      <c r="L552" t="s">
        <v>36</v>
      </c>
      <c r="M552">
        <f t="shared" si="24"/>
        <v>5299.47</v>
      </c>
      <c r="N552" s="6">
        <f t="shared" si="25"/>
        <v>0.26538833128595879</v>
      </c>
      <c r="O552" s="6" t="str">
        <f t="shared" si="26"/>
        <v>Apr</v>
      </c>
    </row>
    <row r="553" spans="1:15">
      <c r="A553" t="s">
        <v>797</v>
      </c>
      <c r="B553" s="2">
        <v>46010</v>
      </c>
      <c r="C553" t="s">
        <v>471</v>
      </c>
      <c r="D553" t="s">
        <v>114</v>
      </c>
      <c r="E553" t="s">
        <v>69</v>
      </c>
      <c r="F553" t="s">
        <v>70</v>
      </c>
      <c r="G553" s="10">
        <v>1</v>
      </c>
      <c r="H553">
        <v>36599.370000000003</v>
      </c>
      <c r="I553" s="6">
        <v>0.05</v>
      </c>
      <c r="J553" s="8">
        <v>7465.4</v>
      </c>
      <c r="K553" s="4" t="s">
        <v>65</v>
      </c>
      <c r="L553" t="s">
        <v>21</v>
      </c>
      <c r="M553">
        <f t="shared" si="24"/>
        <v>1829.9685000000002</v>
      </c>
      <c r="N553" s="6">
        <f t="shared" si="25"/>
        <v>0.20397618866117093</v>
      </c>
      <c r="O553" s="6" t="str">
        <f t="shared" si="26"/>
        <v>Dec</v>
      </c>
    </row>
    <row r="554" spans="1:15">
      <c r="A554" t="s">
        <v>798</v>
      </c>
      <c r="B554" s="2">
        <v>45829</v>
      </c>
      <c r="C554" t="s">
        <v>204</v>
      </c>
      <c r="D554" t="s">
        <v>64</v>
      </c>
      <c r="E554" t="s">
        <v>40</v>
      </c>
      <c r="F554" t="s">
        <v>31</v>
      </c>
      <c r="G554" s="10">
        <v>5</v>
      </c>
      <c r="H554">
        <v>8275.44</v>
      </c>
      <c r="I554" s="6">
        <v>0.25</v>
      </c>
      <c r="J554" s="8">
        <v>1082.75</v>
      </c>
      <c r="K554" s="4" t="s">
        <v>65</v>
      </c>
      <c r="L554" t="s">
        <v>36</v>
      </c>
      <c r="M554">
        <f t="shared" si="24"/>
        <v>2068.86</v>
      </c>
      <c r="N554" s="6">
        <f t="shared" si="25"/>
        <v>0.13083896445385382</v>
      </c>
      <c r="O554" s="6" t="str">
        <f t="shared" si="26"/>
        <v>Jun</v>
      </c>
    </row>
    <row r="555" spans="1:15">
      <c r="A555" t="s">
        <v>799</v>
      </c>
      <c r="B555" s="2">
        <v>45775</v>
      </c>
      <c r="C555" t="s">
        <v>222</v>
      </c>
      <c r="D555" t="s">
        <v>75</v>
      </c>
      <c r="E555" t="s">
        <v>76</v>
      </c>
      <c r="F555" t="s">
        <v>35</v>
      </c>
      <c r="G555" s="10">
        <v>2</v>
      </c>
      <c r="H555">
        <v>24532.400000000001</v>
      </c>
      <c r="I555" s="6">
        <v>0.15</v>
      </c>
      <c r="J555" s="8">
        <v>6193.02</v>
      </c>
      <c r="K555" s="4" t="s">
        <v>42</v>
      </c>
      <c r="L555" t="s">
        <v>21</v>
      </c>
      <c r="M555">
        <f t="shared" si="24"/>
        <v>3679.86</v>
      </c>
      <c r="N555" s="6">
        <f t="shared" si="25"/>
        <v>0.25244248422494336</v>
      </c>
      <c r="O555" s="6" t="str">
        <f t="shared" si="26"/>
        <v>Apr</v>
      </c>
    </row>
    <row r="556" spans="1:15">
      <c r="A556" t="s">
        <v>800</v>
      </c>
      <c r="B556" s="2">
        <v>45903</v>
      </c>
      <c r="C556" t="s">
        <v>152</v>
      </c>
      <c r="D556" t="s">
        <v>39</v>
      </c>
      <c r="E556" t="s">
        <v>40</v>
      </c>
      <c r="F556" t="s">
        <v>41</v>
      </c>
      <c r="G556" s="10">
        <v>3</v>
      </c>
      <c r="H556">
        <v>1995.65</v>
      </c>
      <c r="I556" s="6">
        <v>0.15</v>
      </c>
      <c r="J556" s="8">
        <v>197.78</v>
      </c>
      <c r="K556" s="4" t="s">
        <v>20</v>
      </c>
      <c r="L556" t="s">
        <v>36</v>
      </c>
      <c r="M556">
        <f t="shared" si="24"/>
        <v>299.34750000000003</v>
      </c>
      <c r="N556" s="6">
        <f t="shared" si="25"/>
        <v>9.9105554581214131E-2</v>
      </c>
      <c r="O556" s="6" t="str">
        <f t="shared" si="26"/>
        <v>Sep</v>
      </c>
    </row>
    <row r="557" spans="1:15">
      <c r="A557" t="s">
        <v>801</v>
      </c>
      <c r="B557" s="2">
        <v>45964</v>
      </c>
      <c r="C557" t="s">
        <v>418</v>
      </c>
      <c r="D557" t="s">
        <v>17</v>
      </c>
      <c r="E557" t="s">
        <v>18</v>
      </c>
      <c r="F557" t="s">
        <v>77</v>
      </c>
      <c r="G557" s="10">
        <v>5</v>
      </c>
      <c r="H557">
        <v>10788.17</v>
      </c>
      <c r="I557" s="6">
        <v>0</v>
      </c>
      <c r="J557" s="8">
        <v>2390.96</v>
      </c>
      <c r="K557" s="4" t="s">
        <v>32</v>
      </c>
      <c r="L557" t="s">
        <v>36</v>
      </c>
      <c r="M557">
        <f t="shared" si="24"/>
        <v>0</v>
      </c>
      <c r="N557" s="6">
        <f t="shared" si="25"/>
        <v>0.2216279498747239</v>
      </c>
      <c r="O557" s="6" t="str">
        <f t="shared" si="26"/>
        <v>Nov</v>
      </c>
    </row>
    <row r="558" spans="1:15">
      <c r="A558" t="s">
        <v>802</v>
      </c>
      <c r="B558" s="2">
        <v>45945</v>
      </c>
      <c r="C558" t="s">
        <v>537</v>
      </c>
      <c r="D558" t="s">
        <v>68</v>
      </c>
      <c r="E558" t="s">
        <v>69</v>
      </c>
      <c r="F558" t="s">
        <v>77</v>
      </c>
      <c r="G558" s="10">
        <v>4</v>
      </c>
      <c r="H558">
        <v>55029.88</v>
      </c>
      <c r="I558" s="6">
        <v>0.15</v>
      </c>
      <c r="J558" s="8">
        <v>8516.2900000000009</v>
      </c>
      <c r="K558" s="4" t="s">
        <v>32</v>
      </c>
      <c r="L558" t="s">
        <v>36</v>
      </c>
      <c r="M558">
        <f t="shared" si="24"/>
        <v>8254.482</v>
      </c>
      <c r="N558" s="6">
        <f t="shared" si="25"/>
        <v>0.15475756080151368</v>
      </c>
      <c r="O558" s="6" t="str">
        <f t="shared" si="26"/>
        <v>Oct</v>
      </c>
    </row>
    <row r="559" spans="1:15">
      <c r="A559" t="s">
        <v>803</v>
      </c>
      <c r="B559" s="2">
        <v>45870</v>
      </c>
      <c r="C559" t="s">
        <v>143</v>
      </c>
      <c r="D559" t="s">
        <v>217</v>
      </c>
      <c r="E559" t="s">
        <v>18</v>
      </c>
      <c r="F559" t="s">
        <v>77</v>
      </c>
      <c r="G559" s="10">
        <v>1</v>
      </c>
      <c r="H559">
        <v>2899.66</v>
      </c>
      <c r="I559" s="6">
        <v>0.05</v>
      </c>
      <c r="J559" s="8">
        <v>397.32</v>
      </c>
      <c r="K559" s="4" t="s">
        <v>42</v>
      </c>
      <c r="L559" t="s">
        <v>21</v>
      </c>
      <c r="M559">
        <f t="shared" si="24"/>
        <v>144.983</v>
      </c>
      <c r="N559" s="6">
        <f t="shared" si="25"/>
        <v>0.13702296131270564</v>
      </c>
      <c r="O559" s="6" t="str">
        <f t="shared" si="26"/>
        <v>Aug</v>
      </c>
    </row>
    <row r="560" spans="1:15">
      <c r="A560" t="s">
        <v>804</v>
      </c>
      <c r="B560" s="2">
        <v>45824</v>
      </c>
      <c r="C560" t="s">
        <v>805</v>
      </c>
      <c r="D560" t="s">
        <v>87</v>
      </c>
      <c r="E560" t="s">
        <v>25</v>
      </c>
      <c r="F560" t="s">
        <v>35</v>
      </c>
      <c r="G560" s="10">
        <v>1</v>
      </c>
      <c r="H560">
        <v>2528.98</v>
      </c>
      <c r="I560" s="6">
        <v>0.15</v>
      </c>
      <c r="J560" s="8">
        <v>359.09</v>
      </c>
      <c r="K560" s="4" t="s">
        <v>42</v>
      </c>
      <c r="L560" t="s">
        <v>36</v>
      </c>
      <c r="M560">
        <f t="shared" si="24"/>
        <v>379.34699999999998</v>
      </c>
      <c r="N560" s="6">
        <f t="shared" si="25"/>
        <v>0.14199005132504011</v>
      </c>
      <c r="O560" s="6" t="str">
        <f t="shared" si="26"/>
        <v>Jun</v>
      </c>
    </row>
    <row r="561" spans="1:15">
      <c r="A561" t="s">
        <v>806</v>
      </c>
      <c r="B561" s="2">
        <v>45912</v>
      </c>
      <c r="C561" t="s">
        <v>200</v>
      </c>
      <c r="D561" t="s">
        <v>58</v>
      </c>
      <c r="E561" t="s">
        <v>25</v>
      </c>
      <c r="F561" t="s">
        <v>31</v>
      </c>
      <c r="G561" s="10">
        <v>3</v>
      </c>
      <c r="H561">
        <v>11527.8</v>
      </c>
      <c r="I561" s="6">
        <v>0.2</v>
      </c>
      <c r="J561" s="8">
        <v>1907.45</v>
      </c>
      <c r="K561" s="4" t="s">
        <v>42</v>
      </c>
      <c r="L561" t="s">
        <v>36</v>
      </c>
      <c r="M561">
        <f t="shared" si="24"/>
        <v>2305.56</v>
      </c>
      <c r="N561" s="6">
        <f t="shared" si="25"/>
        <v>0.16546522319956974</v>
      </c>
      <c r="O561" s="6" t="str">
        <f t="shared" si="26"/>
        <v>Sep</v>
      </c>
    </row>
    <row r="562" spans="1:15">
      <c r="A562" t="s">
        <v>807</v>
      </c>
      <c r="B562" s="2">
        <v>45892</v>
      </c>
      <c r="C562" t="s">
        <v>94</v>
      </c>
      <c r="D562" t="s">
        <v>217</v>
      </c>
      <c r="E562" t="s">
        <v>18</v>
      </c>
      <c r="F562" t="s">
        <v>31</v>
      </c>
      <c r="G562" s="10">
        <v>4</v>
      </c>
      <c r="H562">
        <v>3655.72</v>
      </c>
      <c r="I562" s="6">
        <v>0.15</v>
      </c>
      <c r="J562" s="8">
        <v>933.04</v>
      </c>
      <c r="K562" s="4" t="s">
        <v>65</v>
      </c>
      <c r="L562" t="s">
        <v>36</v>
      </c>
      <c r="M562">
        <f t="shared" si="24"/>
        <v>548.35799999999995</v>
      </c>
      <c r="N562" s="6">
        <f t="shared" si="25"/>
        <v>0.25522742441981333</v>
      </c>
      <c r="O562" s="6" t="str">
        <f t="shared" si="26"/>
        <v>Aug</v>
      </c>
    </row>
    <row r="563" spans="1:15">
      <c r="A563" t="s">
        <v>808</v>
      </c>
      <c r="B563" s="2">
        <v>45835</v>
      </c>
      <c r="C563" t="s">
        <v>240</v>
      </c>
      <c r="D563" t="s">
        <v>124</v>
      </c>
      <c r="E563" t="s">
        <v>76</v>
      </c>
      <c r="F563" t="s">
        <v>31</v>
      </c>
      <c r="G563" s="10">
        <v>2</v>
      </c>
      <c r="H563">
        <v>8478.42</v>
      </c>
      <c r="I563" s="6">
        <v>0.15</v>
      </c>
      <c r="J563" s="8">
        <v>1372.85</v>
      </c>
      <c r="K563" s="4" t="s">
        <v>42</v>
      </c>
      <c r="L563" t="s">
        <v>21</v>
      </c>
      <c r="M563">
        <f t="shared" si="24"/>
        <v>1271.7629999999999</v>
      </c>
      <c r="N563" s="6">
        <f t="shared" si="25"/>
        <v>0.16192285826840377</v>
      </c>
      <c r="O563" s="6" t="str">
        <f t="shared" si="26"/>
        <v>Jun</v>
      </c>
    </row>
    <row r="564" spans="1:15">
      <c r="A564" t="s">
        <v>809</v>
      </c>
      <c r="B564" s="2">
        <v>45819</v>
      </c>
      <c r="C564" t="s">
        <v>416</v>
      </c>
      <c r="D564" t="s">
        <v>30</v>
      </c>
      <c r="E564" t="s">
        <v>18</v>
      </c>
      <c r="F564" t="s">
        <v>31</v>
      </c>
      <c r="G564" s="10">
        <v>2</v>
      </c>
      <c r="H564">
        <v>4684.1499999999996</v>
      </c>
      <c r="I564" s="6">
        <v>0.05</v>
      </c>
      <c r="J564" s="8">
        <v>587.4</v>
      </c>
      <c r="K564" s="4" t="s">
        <v>27</v>
      </c>
      <c r="L564" t="s">
        <v>21</v>
      </c>
      <c r="M564">
        <f t="shared" si="24"/>
        <v>234.20749999999998</v>
      </c>
      <c r="N564" s="6">
        <f t="shared" si="25"/>
        <v>0.12540162035801586</v>
      </c>
      <c r="O564" s="6" t="str">
        <f t="shared" si="26"/>
        <v>Jun</v>
      </c>
    </row>
    <row r="565" spans="1:15">
      <c r="A565" t="s">
        <v>810</v>
      </c>
      <c r="B565" s="2">
        <v>45731</v>
      </c>
      <c r="C565" t="s">
        <v>135</v>
      </c>
      <c r="D565" t="s">
        <v>53</v>
      </c>
      <c r="E565" t="s">
        <v>25</v>
      </c>
      <c r="F565" t="s">
        <v>107</v>
      </c>
      <c r="G565" s="10">
        <v>3</v>
      </c>
      <c r="H565">
        <v>1635.9</v>
      </c>
      <c r="I565" s="6">
        <v>0.15</v>
      </c>
      <c r="J565" s="8">
        <v>290.5</v>
      </c>
      <c r="K565" s="4" t="s">
        <v>27</v>
      </c>
      <c r="L565" t="s">
        <v>36</v>
      </c>
      <c r="M565">
        <f t="shared" si="24"/>
        <v>245.38499999999999</v>
      </c>
      <c r="N565" s="6">
        <f t="shared" si="25"/>
        <v>0.17757809157038937</v>
      </c>
      <c r="O565" s="6" t="str">
        <f t="shared" si="26"/>
        <v>Mar</v>
      </c>
    </row>
    <row r="566" spans="1:15">
      <c r="A566" t="s">
        <v>811</v>
      </c>
      <c r="B566" s="2">
        <v>45868</v>
      </c>
      <c r="C566" t="s">
        <v>44</v>
      </c>
      <c r="D566" t="s">
        <v>90</v>
      </c>
      <c r="E566" t="s">
        <v>69</v>
      </c>
      <c r="F566" t="s">
        <v>19</v>
      </c>
      <c r="G566" s="10">
        <v>5</v>
      </c>
      <c r="H566">
        <v>235894.05</v>
      </c>
      <c r="I566" s="6">
        <v>0</v>
      </c>
      <c r="J566" s="8">
        <v>26696.720000000001</v>
      </c>
      <c r="K566" s="4" t="s">
        <v>42</v>
      </c>
      <c r="L566" t="s">
        <v>21</v>
      </c>
      <c r="M566">
        <f t="shared" si="24"/>
        <v>0</v>
      </c>
      <c r="N566" s="6">
        <f t="shared" si="25"/>
        <v>0.11317250265532344</v>
      </c>
      <c r="O566" s="6" t="str">
        <f t="shared" si="26"/>
        <v>Jul</v>
      </c>
    </row>
    <row r="567" spans="1:15">
      <c r="A567" t="s">
        <v>812</v>
      </c>
      <c r="B567" s="2">
        <v>46014</v>
      </c>
      <c r="C567" t="s">
        <v>276</v>
      </c>
      <c r="D567" t="s">
        <v>53</v>
      </c>
      <c r="E567" t="s">
        <v>25</v>
      </c>
      <c r="F567" t="s">
        <v>77</v>
      </c>
      <c r="G567" s="10">
        <v>3</v>
      </c>
      <c r="H567">
        <v>3962.53</v>
      </c>
      <c r="I567" s="6">
        <v>0.15</v>
      </c>
      <c r="J567" s="8">
        <v>679.3</v>
      </c>
      <c r="K567" s="4" t="s">
        <v>20</v>
      </c>
      <c r="L567" t="s">
        <v>21</v>
      </c>
      <c r="M567">
        <f t="shared" si="24"/>
        <v>594.37950000000001</v>
      </c>
      <c r="N567" s="6">
        <f t="shared" si="25"/>
        <v>0.17143087875675386</v>
      </c>
      <c r="O567" s="6" t="str">
        <f t="shared" si="26"/>
        <v>Dec</v>
      </c>
    </row>
    <row r="568" spans="1:15">
      <c r="A568" t="s">
        <v>813</v>
      </c>
      <c r="B568" s="2">
        <v>45994</v>
      </c>
      <c r="C568" t="s">
        <v>325</v>
      </c>
      <c r="D568" t="s">
        <v>90</v>
      </c>
      <c r="E568" t="s">
        <v>69</v>
      </c>
      <c r="F568" t="s">
        <v>70</v>
      </c>
      <c r="G568" s="10">
        <v>1</v>
      </c>
      <c r="H568">
        <v>51637.58</v>
      </c>
      <c r="I568" s="6">
        <v>0.2</v>
      </c>
      <c r="J568" s="8">
        <v>8099.1</v>
      </c>
      <c r="K568" s="4" t="s">
        <v>32</v>
      </c>
      <c r="L568" t="s">
        <v>21</v>
      </c>
      <c r="M568">
        <f t="shared" si="24"/>
        <v>10327.516000000001</v>
      </c>
      <c r="N568" s="6">
        <f t="shared" si="25"/>
        <v>0.15684507291007829</v>
      </c>
      <c r="O568" s="6" t="str">
        <f t="shared" si="26"/>
        <v>Dec</v>
      </c>
    </row>
    <row r="569" spans="1:15">
      <c r="A569" t="s">
        <v>814</v>
      </c>
      <c r="B569" s="2">
        <v>45873</v>
      </c>
      <c r="C569" t="s">
        <v>102</v>
      </c>
      <c r="D569" t="s">
        <v>53</v>
      </c>
      <c r="E569" t="s">
        <v>25</v>
      </c>
      <c r="F569" t="s">
        <v>26</v>
      </c>
      <c r="G569" s="10">
        <v>5</v>
      </c>
      <c r="H569">
        <v>14226.9</v>
      </c>
      <c r="I569" s="6">
        <v>0.2</v>
      </c>
      <c r="J569" s="8">
        <v>1465.98</v>
      </c>
      <c r="K569" s="4" t="s">
        <v>20</v>
      </c>
      <c r="L569" t="s">
        <v>21</v>
      </c>
      <c r="M569">
        <f t="shared" si="24"/>
        <v>2845.38</v>
      </c>
      <c r="N569" s="6">
        <f t="shared" si="25"/>
        <v>0.10304282732007676</v>
      </c>
      <c r="O569" s="6" t="str">
        <f t="shared" si="26"/>
        <v>Aug</v>
      </c>
    </row>
    <row r="570" spans="1:15">
      <c r="A570" t="s">
        <v>815</v>
      </c>
      <c r="B570" s="2">
        <v>45993</v>
      </c>
      <c r="C570" t="s">
        <v>264</v>
      </c>
      <c r="D570" t="s">
        <v>68</v>
      </c>
      <c r="E570" t="s">
        <v>69</v>
      </c>
      <c r="F570" t="s">
        <v>107</v>
      </c>
      <c r="G570" s="10">
        <v>5</v>
      </c>
      <c r="H570">
        <v>3733.25</v>
      </c>
      <c r="I570" s="6">
        <v>0.2</v>
      </c>
      <c r="J570" s="8">
        <v>616.48</v>
      </c>
      <c r="K570" s="4" t="s">
        <v>27</v>
      </c>
      <c r="L570" t="s">
        <v>21</v>
      </c>
      <c r="M570">
        <f t="shared" si="24"/>
        <v>746.65000000000009</v>
      </c>
      <c r="N570" s="6">
        <f t="shared" si="25"/>
        <v>0.1651322574164602</v>
      </c>
      <c r="O570" s="6" t="str">
        <f t="shared" si="26"/>
        <v>Dec</v>
      </c>
    </row>
    <row r="571" spans="1:15">
      <c r="A571" t="s">
        <v>816</v>
      </c>
      <c r="B571" s="2">
        <v>45688</v>
      </c>
      <c r="C571" t="s">
        <v>200</v>
      </c>
      <c r="D571" t="s">
        <v>75</v>
      </c>
      <c r="E571" t="s">
        <v>76</v>
      </c>
      <c r="F571" t="s">
        <v>19</v>
      </c>
      <c r="G571" s="10">
        <v>3</v>
      </c>
      <c r="H571">
        <v>16834.53</v>
      </c>
      <c r="I571" s="6">
        <v>0.2</v>
      </c>
      <c r="J571" s="8">
        <v>2373.35</v>
      </c>
      <c r="K571" s="4" t="s">
        <v>42</v>
      </c>
      <c r="L571" t="s">
        <v>36</v>
      </c>
      <c r="M571">
        <f t="shared" si="24"/>
        <v>3366.9059999999999</v>
      </c>
      <c r="N571" s="6">
        <f t="shared" si="25"/>
        <v>0.14098106689049233</v>
      </c>
      <c r="O571" s="6" t="str">
        <f t="shared" si="26"/>
        <v>Jan</v>
      </c>
    </row>
    <row r="572" spans="1:15">
      <c r="A572" t="s">
        <v>817</v>
      </c>
      <c r="B572" s="2">
        <v>45856</v>
      </c>
      <c r="C572" t="s">
        <v>118</v>
      </c>
      <c r="D572" t="s">
        <v>126</v>
      </c>
      <c r="E572" t="s">
        <v>76</v>
      </c>
      <c r="F572" t="s">
        <v>77</v>
      </c>
      <c r="G572" s="10">
        <v>1</v>
      </c>
      <c r="H572">
        <v>5323.95</v>
      </c>
      <c r="I572" s="6">
        <v>0.25</v>
      </c>
      <c r="J572" s="8">
        <v>1232.1099999999999</v>
      </c>
      <c r="K572" s="4" t="s">
        <v>27</v>
      </c>
      <c r="L572" t="s">
        <v>21</v>
      </c>
      <c r="M572">
        <f t="shared" si="24"/>
        <v>1330.9875</v>
      </c>
      <c r="N572" s="6">
        <f t="shared" si="25"/>
        <v>0.23142779327379107</v>
      </c>
      <c r="O572" s="6" t="str">
        <f t="shared" si="26"/>
        <v>Jul</v>
      </c>
    </row>
    <row r="573" spans="1:15">
      <c r="A573" t="s">
        <v>818</v>
      </c>
      <c r="B573" s="2">
        <v>45909</v>
      </c>
      <c r="C573" t="s">
        <v>537</v>
      </c>
      <c r="D573" t="s">
        <v>30</v>
      </c>
      <c r="E573" t="s">
        <v>18</v>
      </c>
      <c r="F573" t="s">
        <v>35</v>
      </c>
      <c r="G573" s="10">
        <v>1</v>
      </c>
      <c r="H573">
        <v>2696.35</v>
      </c>
      <c r="I573" s="6">
        <v>0.2</v>
      </c>
      <c r="J573" s="8">
        <v>640.73</v>
      </c>
      <c r="K573" s="4" t="s">
        <v>20</v>
      </c>
      <c r="L573" t="s">
        <v>36</v>
      </c>
      <c r="M573">
        <f t="shared" si="24"/>
        <v>539.27</v>
      </c>
      <c r="N573" s="6">
        <f t="shared" si="25"/>
        <v>0.23762864613273502</v>
      </c>
      <c r="O573" s="6" t="str">
        <f t="shared" si="26"/>
        <v>Sep</v>
      </c>
    </row>
    <row r="574" spans="1:15">
      <c r="A574" t="s">
        <v>819</v>
      </c>
      <c r="B574" s="2">
        <v>45795</v>
      </c>
      <c r="C574" t="s">
        <v>820</v>
      </c>
      <c r="D574" t="s">
        <v>61</v>
      </c>
      <c r="E574" t="s">
        <v>40</v>
      </c>
      <c r="F574" t="s">
        <v>77</v>
      </c>
      <c r="G574" s="10">
        <v>2</v>
      </c>
      <c r="H574">
        <v>2077.44</v>
      </c>
      <c r="I574" s="6">
        <v>0.15</v>
      </c>
      <c r="J574" s="8">
        <v>515.97</v>
      </c>
      <c r="K574" s="4" t="s">
        <v>32</v>
      </c>
      <c r="L574" t="s">
        <v>21</v>
      </c>
      <c r="M574">
        <f t="shared" si="24"/>
        <v>311.61599999999999</v>
      </c>
      <c r="N574" s="6">
        <f t="shared" si="25"/>
        <v>0.24836818391866913</v>
      </c>
      <c r="O574" s="6" t="str">
        <f t="shared" si="26"/>
        <v>May</v>
      </c>
    </row>
    <row r="575" spans="1:15">
      <c r="A575" t="s">
        <v>821</v>
      </c>
      <c r="B575" s="2">
        <v>45972</v>
      </c>
      <c r="C575" t="s">
        <v>403</v>
      </c>
      <c r="D575" t="s">
        <v>124</v>
      </c>
      <c r="E575" t="s">
        <v>76</v>
      </c>
      <c r="F575" t="s">
        <v>107</v>
      </c>
      <c r="G575" s="10">
        <v>5</v>
      </c>
      <c r="H575">
        <v>39674.25</v>
      </c>
      <c r="I575" s="6">
        <v>0.2</v>
      </c>
      <c r="J575" s="8">
        <v>3122.64</v>
      </c>
      <c r="K575" s="4" t="s">
        <v>32</v>
      </c>
      <c r="L575" t="s">
        <v>36</v>
      </c>
      <c r="M575">
        <f t="shared" si="24"/>
        <v>7934.85</v>
      </c>
      <c r="N575" s="6">
        <f t="shared" si="25"/>
        <v>7.8706969886009184E-2</v>
      </c>
      <c r="O575" s="6" t="str">
        <f t="shared" si="26"/>
        <v>Nov</v>
      </c>
    </row>
    <row r="576" spans="1:15">
      <c r="A576" t="s">
        <v>822</v>
      </c>
      <c r="B576" s="2">
        <v>45785</v>
      </c>
      <c r="C576" t="s">
        <v>176</v>
      </c>
      <c r="D576" t="s">
        <v>56</v>
      </c>
      <c r="E576" t="s">
        <v>40</v>
      </c>
      <c r="F576" t="s">
        <v>35</v>
      </c>
      <c r="G576" s="10">
        <v>2</v>
      </c>
      <c r="H576">
        <v>4092.62</v>
      </c>
      <c r="I576" s="6">
        <v>0.1</v>
      </c>
      <c r="J576" s="8">
        <v>519.74</v>
      </c>
      <c r="K576" s="4" t="s">
        <v>20</v>
      </c>
      <c r="L576" t="s">
        <v>21</v>
      </c>
      <c r="M576">
        <f t="shared" si="24"/>
        <v>409.262</v>
      </c>
      <c r="N576" s="6">
        <f t="shared" si="25"/>
        <v>0.1269944436571194</v>
      </c>
      <c r="O576" s="6" t="str">
        <f t="shared" si="26"/>
        <v>May</v>
      </c>
    </row>
    <row r="577" spans="1:15">
      <c r="A577" t="s">
        <v>823</v>
      </c>
      <c r="B577" s="2">
        <v>45721</v>
      </c>
      <c r="C577" t="s">
        <v>489</v>
      </c>
      <c r="D577" t="s">
        <v>75</v>
      </c>
      <c r="E577" t="s">
        <v>76</v>
      </c>
      <c r="F577" t="s">
        <v>70</v>
      </c>
      <c r="G577" s="10">
        <v>5</v>
      </c>
      <c r="H577">
        <v>61483.99</v>
      </c>
      <c r="I577" s="6">
        <v>0.05</v>
      </c>
      <c r="J577" s="8">
        <v>7077.1</v>
      </c>
      <c r="K577" s="4" t="s">
        <v>20</v>
      </c>
      <c r="L577" t="s">
        <v>21</v>
      </c>
      <c r="M577">
        <f t="shared" si="24"/>
        <v>3074.1995000000002</v>
      </c>
      <c r="N577" s="6">
        <f t="shared" si="25"/>
        <v>0.11510476141837901</v>
      </c>
      <c r="O577" s="6" t="str">
        <f t="shared" si="26"/>
        <v>Mar</v>
      </c>
    </row>
    <row r="578" spans="1:15">
      <c r="A578" t="s">
        <v>824</v>
      </c>
      <c r="B578" s="2">
        <v>45678</v>
      </c>
      <c r="C578" t="s">
        <v>202</v>
      </c>
      <c r="D578" t="s">
        <v>191</v>
      </c>
      <c r="E578" t="s">
        <v>69</v>
      </c>
      <c r="F578" t="s">
        <v>31</v>
      </c>
      <c r="G578" s="10">
        <v>2</v>
      </c>
      <c r="H578">
        <v>8983.3799999999992</v>
      </c>
      <c r="I578" s="6">
        <v>0.1</v>
      </c>
      <c r="J578" s="8">
        <v>1748.5</v>
      </c>
      <c r="K578" s="4" t="s">
        <v>32</v>
      </c>
      <c r="L578" t="s">
        <v>21</v>
      </c>
      <c r="M578">
        <f t="shared" si="24"/>
        <v>898.33799999999997</v>
      </c>
      <c r="N578" s="6">
        <f t="shared" si="25"/>
        <v>0.19463720782155494</v>
      </c>
      <c r="O578" s="6" t="str">
        <f t="shared" si="26"/>
        <v>Jan</v>
      </c>
    </row>
    <row r="579" spans="1:15">
      <c r="A579" t="s">
        <v>825</v>
      </c>
      <c r="B579" s="2">
        <v>45700</v>
      </c>
      <c r="C579" t="s">
        <v>561</v>
      </c>
      <c r="D579" t="s">
        <v>30</v>
      </c>
      <c r="E579" t="s">
        <v>18</v>
      </c>
      <c r="F579" t="s">
        <v>107</v>
      </c>
      <c r="G579" s="10">
        <v>4</v>
      </c>
      <c r="H579">
        <v>1266.49</v>
      </c>
      <c r="I579" s="6">
        <v>0.1</v>
      </c>
      <c r="J579" s="8">
        <v>125.1</v>
      </c>
      <c r="K579" s="4" t="s">
        <v>27</v>
      </c>
      <c r="L579" t="s">
        <v>36</v>
      </c>
      <c r="M579">
        <f t="shared" ref="M579:M642" si="27">H579*I579</f>
        <v>126.649</v>
      </c>
      <c r="N579" s="6">
        <f t="shared" ref="N579:N642" si="28">IFERROR(J579/H579,0)</f>
        <v>9.8776934677731368E-2</v>
      </c>
      <c r="O579" s="6" t="str">
        <f t="shared" ref="O579:O642" si="29">TEXT(B579,"mmm")</f>
        <v>Feb</v>
      </c>
    </row>
    <row r="580" spans="1:15">
      <c r="A580" t="s">
        <v>826</v>
      </c>
      <c r="B580" s="2">
        <v>45887</v>
      </c>
      <c r="C580" t="s">
        <v>102</v>
      </c>
      <c r="D580" t="s">
        <v>95</v>
      </c>
      <c r="E580" t="s">
        <v>76</v>
      </c>
      <c r="F580" t="s">
        <v>41</v>
      </c>
      <c r="G580" s="10">
        <v>5</v>
      </c>
      <c r="H580">
        <v>67591.37</v>
      </c>
      <c r="I580" s="6">
        <v>0.05</v>
      </c>
      <c r="J580" s="8">
        <v>8621.34</v>
      </c>
      <c r="K580" s="4" t="s">
        <v>65</v>
      </c>
      <c r="L580" t="s">
        <v>21</v>
      </c>
      <c r="M580">
        <f t="shared" si="27"/>
        <v>3379.5684999999999</v>
      </c>
      <c r="N580" s="6">
        <f t="shared" si="28"/>
        <v>0.12755089887954632</v>
      </c>
      <c r="O580" s="6" t="str">
        <f t="shared" si="29"/>
        <v>Aug</v>
      </c>
    </row>
    <row r="581" spans="1:15">
      <c r="A581" t="s">
        <v>827</v>
      </c>
      <c r="B581" s="2">
        <v>46003</v>
      </c>
      <c r="C581" t="s">
        <v>434</v>
      </c>
      <c r="D581" t="s">
        <v>39</v>
      </c>
      <c r="E581" t="s">
        <v>40</v>
      </c>
      <c r="F581" t="s">
        <v>41</v>
      </c>
      <c r="G581" s="10">
        <v>4</v>
      </c>
      <c r="H581">
        <v>1211.08</v>
      </c>
      <c r="I581" s="6">
        <v>0.2</v>
      </c>
      <c r="J581" s="8">
        <v>98.5</v>
      </c>
      <c r="K581" s="4" t="s">
        <v>20</v>
      </c>
      <c r="L581" t="s">
        <v>36</v>
      </c>
      <c r="M581">
        <f t="shared" si="27"/>
        <v>242.21600000000001</v>
      </c>
      <c r="N581" s="6">
        <f t="shared" si="28"/>
        <v>8.1332364501106452E-2</v>
      </c>
      <c r="O581" s="6" t="str">
        <f t="shared" si="29"/>
        <v>Dec</v>
      </c>
    </row>
    <row r="582" spans="1:15">
      <c r="A582" t="s">
        <v>828</v>
      </c>
      <c r="B582" s="2">
        <v>45979</v>
      </c>
      <c r="C582" t="s">
        <v>356</v>
      </c>
      <c r="D582" t="s">
        <v>56</v>
      </c>
      <c r="E582" t="s">
        <v>40</v>
      </c>
      <c r="F582" t="s">
        <v>41</v>
      </c>
      <c r="G582" s="10">
        <v>3</v>
      </c>
      <c r="H582">
        <v>5978.83</v>
      </c>
      <c r="I582" s="6">
        <v>0.05</v>
      </c>
      <c r="J582" s="8">
        <v>1198.8599999999999</v>
      </c>
      <c r="K582" s="4" t="s">
        <v>32</v>
      </c>
      <c r="L582" t="s">
        <v>21</v>
      </c>
      <c r="M582">
        <f t="shared" si="27"/>
        <v>298.94150000000002</v>
      </c>
      <c r="N582" s="6">
        <f t="shared" si="28"/>
        <v>0.20051749255289078</v>
      </c>
      <c r="O582" s="6" t="str">
        <f t="shared" si="29"/>
        <v>Nov</v>
      </c>
    </row>
    <row r="583" spans="1:15">
      <c r="A583" t="s">
        <v>829</v>
      </c>
      <c r="B583" s="2">
        <v>45977</v>
      </c>
      <c r="C583" t="s">
        <v>258</v>
      </c>
      <c r="D583" t="s">
        <v>114</v>
      </c>
      <c r="E583" t="s">
        <v>69</v>
      </c>
      <c r="F583" t="s">
        <v>26</v>
      </c>
      <c r="G583" s="10">
        <v>5</v>
      </c>
      <c r="H583">
        <v>64212.89</v>
      </c>
      <c r="I583" s="6">
        <v>0.25</v>
      </c>
      <c r="J583" s="8">
        <v>14776.04</v>
      </c>
      <c r="K583" s="4" t="s">
        <v>27</v>
      </c>
      <c r="L583" t="s">
        <v>21</v>
      </c>
      <c r="M583">
        <f t="shared" si="27"/>
        <v>16053.2225</v>
      </c>
      <c r="N583" s="6">
        <f t="shared" si="28"/>
        <v>0.2301101850422867</v>
      </c>
      <c r="O583" s="6" t="str">
        <f t="shared" si="29"/>
        <v>Nov</v>
      </c>
    </row>
    <row r="584" spans="1:15">
      <c r="A584" t="s">
        <v>830</v>
      </c>
      <c r="B584" s="2">
        <v>45922</v>
      </c>
      <c r="C584" t="s">
        <v>563</v>
      </c>
      <c r="D584" t="s">
        <v>126</v>
      </c>
      <c r="E584" t="s">
        <v>76</v>
      </c>
      <c r="F584" t="s">
        <v>77</v>
      </c>
      <c r="G584" s="10">
        <v>2</v>
      </c>
      <c r="H584">
        <v>17130.330000000002</v>
      </c>
      <c r="I584" s="6">
        <v>0.25</v>
      </c>
      <c r="J584" s="8">
        <v>1944.64</v>
      </c>
      <c r="K584" s="4" t="s">
        <v>20</v>
      </c>
      <c r="L584" t="s">
        <v>36</v>
      </c>
      <c r="M584">
        <f t="shared" si="27"/>
        <v>4282.5825000000004</v>
      </c>
      <c r="N584" s="6">
        <f t="shared" si="28"/>
        <v>0.11352028828399686</v>
      </c>
      <c r="O584" s="6" t="str">
        <f t="shared" si="29"/>
        <v>Sep</v>
      </c>
    </row>
    <row r="585" spans="1:15">
      <c r="A585" t="s">
        <v>831</v>
      </c>
      <c r="B585" s="2">
        <v>45759</v>
      </c>
      <c r="C585" t="s">
        <v>784</v>
      </c>
      <c r="D585" t="s">
        <v>114</v>
      </c>
      <c r="E585" t="s">
        <v>69</v>
      </c>
      <c r="F585" t="s">
        <v>41</v>
      </c>
      <c r="G585" s="10">
        <v>4</v>
      </c>
      <c r="H585">
        <v>23487.96</v>
      </c>
      <c r="I585" s="6">
        <v>0.25</v>
      </c>
      <c r="J585" s="8">
        <v>6529.08</v>
      </c>
      <c r="K585" s="4" t="s">
        <v>32</v>
      </c>
      <c r="L585" t="s">
        <v>36</v>
      </c>
      <c r="M585">
        <f t="shared" si="27"/>
        <v>5871.99</v>
      </c>
      <c r="N585" s="6">
        <f t="shared" si="28"/>
        <v>0.27797560963148782</v>
      </c>
      <c r="O585" s="6" t="str">
        <f t="shared" si="29"/>
        <v>Apr</v>
      </c>
    </row>
    <row r="586" spans="1:15">
      <c r="A586" t="s">
        <v>832</v>
      </c>
      <c r="B586" s="2">
        <v>45962</v>
      </c>
      <c r="C586" t="s">
        <v>312</v>
      </c>
      <c r="D586" t="s">
        <v>124</v>
      </c>
      <c r="E586" t="s">
        <v>76</v>
      </c>
      <c r="F586" t="s">
        <v>26</v>
      </c>
      <c r="G586" s="10">
        <v>3</v>
      </c>
      <c r="H586">
        <v>30376.31</v>
      </c>
      <c r="I586" s="6">
        <v>0.2</v>
      </c>
      <c r="J586" s="8">
        <v>6692.37</v>
      </c>
      <c r="K586" s="4" t="s">
        <v>65</v>
      </c>
      <c r="L586" t="s">
        <v>36</v>
      </c>
      <c r="M586">
        <f t="shared" si="27"/>
        <v>6075.2620000000006</v>
      </c>
      <c r="N586" s="6">
        <f t="shared" si="28"/>
        <v>0.22031543660174654</v>
      </c>
      <c r="O586" s="6" t="str">
        <f t="shared" si="29"/>
        <v>Nov</v>
      </c>
    </row>
    <row r="587" spans="1:15">
      <c r="A587" t="s">
        <v>833</v>
      </c>
      <c r="B587" s="2">
        <v>45786</v>
      </c>
      <c r="C587" t="s">
        <v>321</v>
      </c>
      <c r="D587" t="s">
        <v>126</v>
      </c>
      <c r="E587" t="s">
        <v>76</v>
      </c>
      <c r="F587" t="s">
        <v>107</v>
      </c>
      <c r="G587" s="10">
        <v>2</v>
      </c>
      <c r="H587">
        <v>15872.23</v>
      </c>
      <c r="I587" s="6">
        <v>0</v>
      </c>
      <c r="J587" s="8">
        <v>1122.6300000000001</v>
      </c>
      <c r="K587" s="4" t="s">
        <v>27</v>
      </c>
      <c r="L587" t="s">
        <v>21</v>
      </c>
      <c r="M587">
        <f t="shared" si="27"/>
        <v>0</v>
      </c>
      <c r="N587" s="6">
        <f t="shared" si="28"/>
        <v>7.0729191802286137E-2</v>
      </c>
      <c r="O587" s="6" t="str">
        <f t="shared" si="29"/>
        <v>May</v>
      </c>
    </row>
    <row r="588" spans="1:15">
      <c r="A588" t="s">
        <v>834</v>
      </c>
      <c r="B588" s="2">
        <v>45744</v>
      </c>
      <c r="C588" t="s">
        <v>543</v>
      </c>
      <c r="D588" t="s">
        <v>95</v>
      </c>
      <c r="E588" t="s">
        <v>76</v>
      </c>
      <c r="F588" t="s">
        <v>26</v>
      </c>
      <c r="G588" s="10">
        <v>2</v>
      </c>
      <c r="H588">
        <v>2104.16</v>
      </c>
      <c r="I588" s="6">
        <v>0.2</v>
      </c>
      <c r="J588" s="8">
        <v>318.52</v>
      </c>
      <c r="K588" s="4" t="s">
        <v>65</v>
      </c>
      <c r="L588" t="s">
        <v>36</v>
      </c>
      <c r="M588">
        <f t="shared" si="27"/>
        <v>420.83199999999999</v>
      </c>
      <c r="N588" s="6">
        <f t="shared" si="28"/>
        <v>0.15137632119230476</v>
      </c>
      <c r="O588" s="6" t="str">
        <f t="shared" si="29"/>
        <v>Mar</v>
      </c>
    </row>
    <row r="589" spans="1:15">
      <c r="A589" t="s">
        <v>835</v>
      </c>
      <c r="B589" s="2">
        <v>45773</v>
      </c>
      <c r="C589" t="s">
        <v>152</v>
      </c>
      <c r="D589" t="s">
        <v>58</v>
      </c>
      <c r="E589" t="s">
        <v>25</v>
      </c>
      <c r="F589" t="s">
        <v>77</v>
      </c>
      <c r="G589" s="10">
        <v>5</v>
      </c>
      <c r="H589">
        <v>13612.62</v>
      </c>
      <c r="I589" s="6">
        <v>0.1</v>
      </c>
      <c r="J589" s="8">
        <v>3126.18</v>
      </c>
      <c r="K589" s="4" t="s">
        <v>42</v>
      </c>
      <c r="L589" t="s">
        <v>36</v>
      </c>
      <c r="M589">
        <f t="shared" si="27"/>
        <v>1361.2620000000002</v>
      </c>
      <c r="N589" s="6">
        <f t="shared" si="28"/>
        <v>0.22965307192884246</v>
      </c>
      <c r="O589" s="6" t="str">
        <f t="shared" si="29"/>
        <v>Apr</v>
      </c>
    </row>
    <row r="590" spans="1:15">
      <c r="A590" t="s">
        <v>836</v>
      </c>
      <c r="B590" s="2">
        <v>45692</v>
      </c>
      <c r="C590" t="s">
        <v>284</v>
      </c>
      <c r="D590" t="s">
        <v>50</v>
      </c>
      <c r="E590" t="s">
        <v>40</v>
      </c>
      <c r="F590" t="s">
        <v>19</v>
      </c>
      <c r="G590" s="10">
        <v>4</v>
      </c>
      <c r="H590">
        <v>2700.49</v>
      </c>
      <c r="I590" s="6">
        <v>0.1</v>
      </c>
      <c r="J590" s="8">
        <v>574.63</v>
      </c>
      <c r="K590" s="4" t="s">
        <v>65</v>
      </c>
      <c r="L590" t="s">
        <v>21</v>
      </c>
      <c r="M590">
        <f t="shared" si="27"/>
        <v>270.04899999999998</v>
      </c>
      <c r="N590" s="6">
        <f t="shared" si="28"/>
        <v>0.21278730896985362</v>
      </c>
      <c r="O590" s="6" t="str">
        <f t="shared" si="29"/>
        <v>Feb</v>
      </c>
    </row>
    <row r="591" spans="1:15">
      <c r="A591" t="s">
        <v>837</v>
      </c>
      <c r="B591" s="2">
        <v>45725</v>
      </c>
      <c r="C591" t="s">
        <v>178</v>
      </c>
      <c r="D591" t="s">
        <v>191</v>
      </c>
      <c r="E591" t="s">
        <v>69</v>
      </c>
      <c r="F591" t="s">
        <v>31</v>
      </c>
      <c r="G591" s="10">
        <v>3</v>
      </c>
      <c r="H591">
        <v>144908.43</v>
      </c>
      <c r="I591" s="6">
        <v>0.2</v>
      </c>
      <c r="J591" s="8">
        <v>41271.33</v>
      </c>
      <c r="K591" s="4" t="s">
        <v>65</v>
      </c>
      <c r="L591" t="s">
        <v>21</v>
      </c>
      <c r="M591">
        <f t="shared" si="27"/>
        <v>28981.686000000002</v>
      </c>
      <c r="N591" s="6">
        <f t="shared" si="28"/>
        <v>0.28480972432038637</v>
      </c>
      <c r="O591" s="6" t="str">
        <f t="shared" si="29"/>
        <v>Mar</v>
      </c>
    </row>
    <row r="592" spans="1:15">
      <c r="A592" t="s">
        <v>838</v>
      </c>
      <c r="B592" s="2">
        <v>45706</v>
      </c>
      <c r="C592" t="s">
        <v>226</v>
      </c>
      <c r="D592" t="s">
        <v>53</v>
      </c>
      <c r="E592" t="s">
        <v>25</v>
      </c>
      <c r="F592" t="s">
        <v>26</v>
      </c>
      <c r="G592" s="10">
        <v>2</v>
      </c>
      <c r="H592">
        <v>2326.2399999999998</v>
      </c>
      <c r="I592" s="6">
        <v>0.05</v>
      </c>
      <c r="J592" s="8">
        <v>634.57000000000005</v>
      </c>
      <c r="K592" s="4" t="s">
        <v>42</v>
      </c>
      <c r="L592" t="s">
        <v>21</v>
      </c>
      <c r="M592">
        <f t="shared" si="27"/>
        <v>116.312</v>
      </c>
      <c r="N592" s="6">
        <f t="shared" si="28"/>
        <v>0.27278784648187637</v>
      </c>
      <c r="O592" s="6" t="str">
        <f t="shared" si="29"/>
        <v>Feb</v>
      </c>
    </row>
    <row r="593" spans="1:15">
      <c r="A593" t="s">
        <v>839</v>
      </c>
      <c r="B593" s="2">
        <v>45658</v>
      </c>
      <c r="C593" t="s">
        <v>426</v>
      </c>
      <c r="D593" t="s">
        <v>217</v>
      </c>
      <c r="E593" t="s">
        <v>18</v>
      </c>
      <c r="F593" t="s">
        <v>41</v>
      </c>
      <c r="G593" s="10">
        <v>4</v>
      </c>
      <c r="H593">
        <v>2746.65</v>
      </c>
      <c r="I593" s="6">
        <v>0.25</v>
      </c>
      <c r="J593" s="8">
        <v>260.13</v>
      </c>
      <c r="K593" s="4" t="s">
        <v>27</v>
      </c>
      <c r="L593" t="s">
        <v>21</v>
      </c>
      <c r="M593">
        <f t="shared" si="27"/>
        <v>686.66250000000002</v>
      </c>
      <c r="N593" s="6">
        <f t="shared" si="28"/>
        <v>9.4708098956911138E-2</v>
      </c>
      <c r="O593" s="6" t="str">
        <f t="shared" si="29"/>
        <v>Jan</v>
      </c>
    </row>
    <row r="594" spans="1:15">
      <c r="A594" t="s">
        <v>840</v>
      </c>
      <c r="B594" s="2">
        <v>45873</v>
      </c>
      <c r="C594" t="s">
        <v>120</v>
      </c>
      <c r="D594" t="s">
        <v>56</v>
      </c>
      <c r="E594" t="s">
        <v>40</v>
      </c>
      <c r="F594" t="s">
        <v>26</v>
      </c>
      <c r="G594" s="10">
        <v>3</v>
      </c>
      <c r="H594">
        <v>4561.67</v>
      </c>
      <c r="I594" s="6">
        <v>0.2</v>
      </c>
      <c r="J594" s="8">
        <v>432.45</v>
      </c>
      <c r="K594" s="4" t="s">
        <v>42</v>
      </c>
      <c r="L594" t="s">
        <v>21</v>
      </c>
      <c r="M594">
        <f t="shared" si="27"/>
        <v>912.33400000000006</v>
      </c>
      <c r="N594" s="6">
        <f t="shared" si="28"/>
        <v>9.4800807598971429E-2</v>
      </c>
      <c r="O594" s="6" t="str">
        <f t="shared" si="29"/>
        <v>Aug</v>
      </c>
    </row>
    <row r="595" spans="1:15">
      <c r="A595" t="s">
        <v>841</v>
      </c>
      <c r="B595" s="2">
        <v>45679</v>
      </c>
      <c r="C595" t="s">
        <v>247</v>
      </c>
      <c r="D595" t="s">
        <v>126</v>
      </c>
      <c r="E595" t="s">
        <v>76</v>
      </c>
      <c r="F595" t="s">
        <v>77</v>
      </c>
      <c r="G595" s="10">
        <v>2</v>
      </c>
      <c r="H595">
        <v>17541.11</v>
      </c>
      <c r="I595" s="6">
        <v>0.15</v>
      </c>
      <c r="J595" s="8">
        <v>3642.89</v>
      </c>
      <c r="K595" s="4" t="s">
        <v>27</v>
      </c>
      <c r="L595" t="s">
        <v>21</v>
      </c>
      <c r="M595">
        <f t="shared" si="27"/>
        <v>2631.1664999999998</v>
      </c>
      <c r="N595" s="6">
        <f t="shared" si="28"/>
        <v>0.20767727925997839</v>
      </c>
      <c r="O595" s="6" t="str">
        <f t="shared" si="29"/>
        <v>Jan</v>
      </c>
    </row>
    <row r="596" spans="1:15">
      <c r="A596" t="s">
        <v>842</v>
      </c>
      <c r="B596" s="2">
        <v>45706</v>
      </c>
      <c r="C596" t="s">
        <v>321</v>
      </c>
      <c r="D596" t="s">
        <v>84</v>
      </c>
      <c r="E596" t="s">
        <v>18</v>
      </c>
      <c r="F596" t="s">
        <v>35</v>
      </c>
      <c r="G596" s="10">
        <v>5</v>
      </c>
      <c r="H596">
        <v>3363.79</v>
      </c>
      <c r="I596" s="6">
        <v>0.25</v>
      </c>
      <c r="J596" s="8">
        <v>522.46</v>
      </c>
      <c r="K596" s="4" t="s">
        <v>27</v>
      </c>
      <c r="L596" t="s">
        <v>36</v>
      </c>
      <c r="M596">
        <f t="shared" si="27"/>
        <v>840.94749999999999</v>
      </c>
      <c r="N596" s="6">
        <f t="shared" si="28"/>
        <v>0.15531885165245157</v>
      </c>
      <c r="O596" s="6" t="str">
        <f t="shared" si="29"/>
        <v>Feb</v>
      </c>
    </row>
    <row r="597" spans="1:15">
      <c r="A597" t="s">
        <v>843</v>
      </c>
      <c r="B597" s="2">
        <v>45868</v>
      </c>
      <c r="C597" t="s">
        <v>410</v>
      </c>
      <c r="D597" t="s">
        <v>45</v>
      </c>
      <c r="E597" t="s">
        <v>18</v>
      </c>
      <c r="F597" t="s">
        <v>31</v>
      </c>
      <c r="G597" s="10">
        <v>3</v>
      </c>
      <c r="H597">
        <v>9329.7999999999993</v>
      </c>
      <c r="I597" s="6">
        <v>0.15</v>
      </c>
      <c r="J597" s="8">
        <v>1880.27</v>
      </c>
      <c r="K597" s="4" t="s">
        <v>42</v>
      </c>
      <c r="L597" t="s">
        <v>36</v>
      </c>
      <c r="M597">
        <f t="shared" si="27"/>
        <v>1399.4699999999998</v>
      </c>
      <c r="N597" s="6">
        <f t="shared" si="28"/>
        <v>0.2015337949366546</v>
      </c>
      <c r="O597" s="6" t="str">
        <f t="shared" si="29"/>
        <v>Jul</v>
      </c>
    </row>
    <row r="598" spans="1:15">
      <c r="A598" t="s">
        <v>844</v>
      </c>
      <c r="B598" s="2">
        <v>45689</v>
      </c>
      <c r="C598" t="s">
        <v>552</v>
      </c>
      <c r="D598" t="s">
        <v>191</v>
      </c>
      <c r="E598" t="s">
        <v>69</v>
      </c>
      <c r="F598" t="s">
        <v>41</v>
      </c>
      <c r="G598" s="10">
        <v>2</v>
      </c>
      <c r="H598">
        <v>97887.87</v>
      </c>
      <c r="I598" s="6">
        <v>0.2</v>
      </c>
      <c r="J598" s="8">
        <v>23781.5</v>
      </c>
      <c r="K598" s="4" t="s">
        <v>42</v>
      </c>
      <c r="L598" t="s">
        <v>36</v>
      </c>
      <c r="M598">
        <f t="shared" si="27"/>
        <v>19577.574000000001</v>
      </c>
      <c r="N598" s="6">
        <f t="shared" si="28"/>
        <v>0.2429463425856544</v>
      </c>
      <c r="O598" s="6" t="str">
        <f t="shared" si="29"/>
        <v>Feb</v>
      </c>
    </row>
    <row r="599" spans="1:15">
      <c r="A599" t="s">
        <v>845</v>
      </c>
      <c r="B599" s="2">
        <v>45771</v>
      </c>
      <c r="C599" t="s">
        <v>214</v>
      </c>
      <c r="D599" t="s">
        <v>68</v>
      </c>
      <c r="E599" t="s">
        <v>69</v>
      </c>
      <c r="F599" t="s">
        <v>35</v>
      </c>
      <c r="G599" s="10">
        <v>1</v>
      </c>
      <c r="H599">
        <v>16443.72</v>
      </c>
      <c r="I599" s="6">
        <v>0.05</v>
      </c>
      <c r="J599" s="8">
        <v>1170.3599999999999</v>
      </c>
      <c r="K599" s="4" t="s">
        <v>27</v>
      </c>
      <c r="L599" t="s">
        <v>36</v>
      </c>
      <c r="M599">
        <f t="shared" si="27"/>
        <v>822.18600000000015</v>
      </c>
      <c r="N599" s="6">
        <f t="shared" si="28"/>
        <v>7.1173676029511565E-2</v>
      </c>
      <c r="O599" s="6" t="str">
        <f t="shared" si="29"/>
        <v>Apr</v>
      </c>
    </row>
    <row r="600" spans="1:15">
      <c r="A600" t="s">
        <v>846</v>
      </c>
      <c r="B600" s="2">
        <v>45771</v>
      </c>
      <c r="C600" t="s">
        <v>381</v>
      </c>
      <c r="D600" t="s">
        <v>84</v>
      </c>
      <c r="E600" t="s">
        <v>18</v>
      </c>
      <c r="F600" t="s">
        <v>26</v>
      </c>
      <c r="G600" s="10">
        <v>2</v>
      </c>
      <c r="H600">
        <v>973.3</v>
      </c>
      <c r="I600" s="6">
        <v>0.2</v>
      </c>
      <c r="J600" s="8">
        <v>166.44</v>
      </c>
      <c r="K600" s="4" t="s">
        <v>27</v>
      </c>
      <c r="L600" t="s">
        <v>36</v>
      </c>
      <c r="M600">
        <f t="shared" si="27"/>
        <v>194.66</v>
      </c>
      <c r="N600" s="6">
        <f t="shared" si="28"/>
        <v>0.171005856364944</v>
      </c>
      <c r="O600" s="6" t="str">
        <f t="shared" si="29"/>
        <v>Apr</v>
      </c>
    </row>
    <row r="601" spans="1:15">
      <c r="A601" t="s">
        <v>847</v>
      </c>
      <c r="B601" s="2">
        <v>46010</v>
      </c>
      <c r="C601" t="s">
        <v>418</v>
      </c>
      <c r="D601" t="s">
        <v>114</v>
      </c>
      <c r="E601" t="s">
        <v>69</v>
      </c>
      <c r="F601" t="s">
        <v>107</v>
      </c>
      <c r="G601" s="10">
        <v>4</v>
      </c>
      <c r="H601">
        <v>54408.18</v>
      </c>
      <c r="I601" s="6">
        <v>0.15</v>
      </c>
      <c r="J601" s="8">
        <v>12198.19</v>
      </c>
      <c r="K601" s="4" t="s">
        <v>20</v>
      </c>
      <c r="L601" t="s">
        <v>21</v>
      </c>
      <c r="M601">
        <f t="shared" si="27"/>
        <v>8161.2269999999999</v>
      </c>
      <c r="N601" s="6">
        <f t="shared" si="28"/>
        <v>0.22419772173963548</v>
      </c>
      <c r="O601" s="6" t="str">
        <f t="shared" si="29"/>
        <v>Dec</v>
      </c>
    </row>
    <row r="602" spans="1:15">
      <c r="A602" t="s">
        <v>848</v>
      </c>
      <c r="B602" s="2">
        <v>45771</v>
      </c>
      <c r="C602" t="s">
        <v>640</v>
      </c>
      <c r="D602" t="s">
        <v>72</v>
      </c>
      <c r="E602" t="s">
        <v>69</v>
      </c>
      <c r="F602" t="s">
        <v>35</v>
      </c>
      <c r="G602" s="10">
        <v>4</v>
      </c>
      <c r="H602">
        <v>193750.6</v>
      </c>
      <c r="I602" s="6">
        <v>0.05</v>
      </c>
      <c r="J602" s="8">
        <v>30940.720000000001</v>
      </c>
      <c r="K602" s="4" t="s">
        <v>27</v>
      </c>
      <c r="L602" t="s">
        <v>21</v>
      </c>
      <c r="M602">
        <f t="shared" si="27"/>
        <v>9687.5300000000007</v>
      </c>
      <c r="N602" s="6">
        <f t="shared" si="28"/>
        <v>0.15969354417483095</v>
      </c>
      <c r="O602" s="6" t="str">
        <f t="shared" si="29"/>
        <v>Apr</v>
      </c>
    </row>
    <row r="603" spans="1:15">
      <c r="A603" t="s">
        <v>849</v>
      </c>
      <c r="B603" s="2">
        <v>45798</v>
      </c>
      <c r="C603" t="s">
        <v>312</v>
      </c>
      <c r="D603" t="s">
        <v>30</v>
      </c>
      <c r="E603" t="s">
        <v>18</v>
      </c>
      <c r="F603" t="s">
        <v>26</v>
      </c>
      <c r="G603" s="10">
        <v>4</v>
      </c>
      <c r="H603">
        <v>2893.56</v>
      </c>
      <c r="I603" s="6">
        <v>0</v>
      </c>
      <c r="J603" s="8">
        <v>226.66</v>
      </c>
      <c r="K603" s="4" t="s">
        <v>42</v>
      </c>
      <c r="L603" t="s">
        <v>21</v>
      </c>
      <c r="M603">
        <f t="shared" si="27"/>
        <v>0</v>
      </c>
      <c r="N603" s="6">
        <f t="shared" si="28"/>
        <v>7.8332573024233118E-2</v>
      </c>
      <c r="O603" s="6" t="str">
        <f t="shared" si="29"/>
        <v>May</v>
      </c>
    </row>
    <row r="604" spans="1:15">
      <c r="A604" t="s">
        <v>850</v>
      </c>
      <c r="B604" s="2">
        <v>45726</v>
      </c>
      <c r="C604" t="s">
        <v>161</v>
      </c>
      <c r="D604" t="s">
        <v>124</v>
      </c>
      <c r="E604" t="s">
        <v>76</v>
      </c>
      <c r="F604" t="s">
        <v>41</v>
      </c>
      <c r="G604" s="10">
        <v>2</v>
      </c>
      <c r="H604">
        <v>2690.69</v>
      </c>
      <c r="I604" s="6">
        <v>0.05</v>
      </c>
      <c r="J604" s="8">
        <v>629.77</v>
      </c>
      <c r="K604" s="4" t="s">
        <v>27</v>
      </c>
      <c r="L604" t="s">
        <v>21</v>
      </c>
      <c r="M604">
        <f t="shared" si="27"/>
        <v>134.53450000000001</v>
      </c>
      <c r="N604" s="6">
        <f t="shared" si="28"/>
        <v>0.23405520517042097</v>
      </c>
      <c r="O604" s="6" t="str">
        <f t="shared" si="29"/>
        <v>Mar</v>
      </c>
    </row>
    <row r="605" spans="1:15">
      <c r="A605" t="s">
        <v>851</v>
      </c>
      <c r="B605" s="2">
        <v>45683</v>
      </c>
      <c r="C605" t="s">
        <v>523</v>
      </c>
      <c r="D605" t="s">
        <v>24</v>
      </c>
      <c r="E605" t="s">
        <v>25</v>
      </c>
      <c r="F605" t="s">
        <v>41</v>
      </c>
      <c r="G605" s="10">
        <v>1</v>
      </c>
      <c r="H605">
        <v>3308.37</v>
      </c>
      <c r="I605" s="6">
        <v>0.2</v>
      </c>
      <c r="J605" s="8">
        <v>463.96</v>
      </c>
      <c r="K605" s="4" t="s">
        <v>27</v>
      </c>
      <c r="L605" t="s">
        <v>21</v>
      </c>
      <c r="M605">
        <f t="shared" si="27"/>
        <v>661.67399999999998</v>
      </c>
      <c r="N605" s="6">
        <f t="shared" si="28"/>
        <v>0.1402382442108954</v>
      </c>
      <c r="O605" s="6" t="str">
        <f t="shared" si="29"/>
        <v>Jan</v>
      </c>
    </row>
    <row r="606" spans="1:15">
      <c r="A606" t="s">
        <v>852</v>
      </c>
      <c r="B606" s="2">
        <v>46016</v>
      </c>
      <c r="C606" t="s">
        <v>763</v>
      </c>
      <c r="D606" t="s">
        <v>45</v>
      </c>
      <c r="E606" t="s">
        <v>18</v>
      </c>
      <c r="F606" t="s">
        <v>26</v>
      </c>
      <c r="G606" s="10">
        <v>2</v>
      </c>
      <c r="H606">
        <v>2857.69</v>
      </c>
      <c r="I606" s="6">
        <v>0.2</v>
      </c>
      <c r="J606" s="8">
        <v>619.37</v>
      </c>
      <c r="K606" s="4" t="s">
        <v>20</v>
      </c>
      <c r="L606" t="s">
        <v>36</v>
      </c>
      <c r="M606">
        <f t="shared" si="27"/>
        <v>571.53800000000001</v>
      </c>
      <c r="N606" s="6">
        <f t="shared" si="28"/>
        <v>0.21673799467401991</v>
      </c>
      <c r="O606" s="6" t="str">
        <f t="shared" si="29"/>
        <v>Dec</v>
      </c>
    </row>
    <row r="607" spans="1:15">
      <c r="A607" t="s">
        <v>853</v>
      </c>
      <c r="B607" s="2">
        <v>45687</v>
      </c>
      <c r="C607" t="s">
        <v>583</v>
      </c>
      <c r="D607" t="s">
        <v>75</v>
      </c>
      <c r="E607" t="s">
        <v>76</v>
      </c>
      <c r="F607" t="s">
        <v>70</v>
      </c>
      <c r="G607" s="10">
        <v>2</v>
      </c>
      <c r="H607">
        <v>5712.82</v>
      </c>
      <c r="I607" s="6">
        <v>0</v>
      </c>
      <c r="J607" s="8">
        <v>534.84</v>
      </c>
      <c r="K607" s="4" t="s">
        <v>20</v>
      </c>
      <c r="L607" t="s">
        <v>36</v>
      </c>
      <c r="M607">
        <f t="shared" si="27"/>
        <v>0</v>
      </c>
      <c r="N607" s="6">
        <f t="shared" si="28"/>
        <v>9.362101379003715E-2</v>
      </c>
      <c r="O607" s="6" t="str">
        <f t="shared" si="29"/>
        <v>Jan</v>
      </c>
    </row>
    <row r="608" spans="1:15">
      <c r="A608" t="s">
        <v>854</v>
      </c>
      <c r="B608" s="2">
        <v>45683</v>
      </c>
      <c r="C608" t="s">
        <v>264</v>
      </c>
      <c r="D608" t="s">
        <v>53</v>
      </c>
      <c r="E608" t="s">
        <v>25</v>
      </c>
      <c r="F608" t="s">
        <v>41</v>
      </c>
      <c r="G608" s="10">
        <v>3</v>
      </c>
      <c r="H608">
        <v>6955.01</v>
      </c>
      <c r="I608" s="6">
        <v>0.05</v>
      </c>
      <c r="J608" s="8">
        <v>450.23</v>
      </c>
      <c r="K608" s="4" t="s">
        <v>65</v>
      </c>
      <c r="L608" t="s">
        <v>21</v>
      </c>
      <c r="M608">
        <f t="shared" si="27"/>
        <v>347.75050000000005</v>
      </c>
      <c r="N608" s="6">
        <f t="shared" si="28"/>
        <v>6.4734630144313243E-2</v>
      </c>
      <c r="O608" s="6" t="str">
        <f t="shared" si="29"/>
        <v>Jan</v>
      </c>
    </row>
    <row r="609" spans="1:15">
      <c r="A609" t="s">
        <v>855</v>
      </c>
      <c r="B609" s="2">
        <v>45673</v>
      </c>
      <c r="C609" t="s">
        <v>137</v>
      </c>
      <c r="D609" t="s">
        <v>58</v>
      </c>
      <c r="E609" t="s">
        <v>25</v>
      </c>
      <c r="F609" t="s">
        <v>41</v>
      </c>
      <c r="G609" s="10">
        <v>2</v>
      </c>
      <c r="H609">
        <v>1817.69</v>
      </c>
      <c r="I609" s="6">
        <v>0.2</v>
      </c>
      <c r="J609" s="8">
        <v>316.39999999999998</v>
      </c>
      <c r="K609" s="4" t="s">
        <v>27</v>
      </c>
      <c r="L609" t="s">
        <v>21</v>
      </c>
      <c r="M609">
        <f t="shared" si="27"/>
        <v>363.53800000000001</v>
      </c>
      <c r="N609" s="6">
        <f t="shared" si="28"/>
        <v>0.17406708514653213</v>
      </c>
      <c r="O609" s="6" t="str">
        <f t="shared" si="29"/>
        <v>Jan</v>
      </c>
    </row>
    <row r="610" spans="1:15">
      <c r="A610" t="s">
        <v>856</v>
      </c>
      <c r="B610" s="2">
        <v>45764</v>
      </c>
      <c r="C610" t="s">
        <v>155</v>
      </c>
      <c r="D610" t="s">
        <v>64</v>
      </c>
      <c r="E610" t="s">
        <v>40</v>
      </c>
      <c r="F610" t="s">
        <v>107</v>
      </c>
      <c r="G610" s="10">
        <v>1</v>
      </c>
      <c r="H610">
        <v>1280.3900000000001</v>
      </c>
      <c r="I610" s="6">
        <v>0.05</v>
      </c>
      <c r="J610" s="8">
        <v>71.430000000000007</v>
      </c>
      <c r="K610" s="4" t="s">
        <v>65</v>
      </c>
      <c r="L610" t="s">
        <v>21</v>
      </c>
      <c r="M610">
        <f t="shared" si="27"/>
        <v>64.019500000000008</v>
      </c>
      <c r="N610" s="6">
        <f t="shared" si="28"/>
        <v>5.57876896882981E-2</v>
      </c>
      <c r="O610" s="6" t="str">
        <f t="shared" si="29"/>
        <v>Apr</v>
      </c>
    </row>
    <row r="611" spans="1:15">
      <c r="A611" t="s">
        <v>857</v>
      </c>
      <c r="B611" s="2">
        <v>45791</v>
      </c>
      <c r="C611" t="s">
        <v>198</v>
      </c>
      <c r="D611" t="s">
        <v>68</v>
      </c>
      <c r="E611" t="s">
        <v>69</v>
      </c>
      <c r="F611" t="s">
        <v>35</v>
      </c>
      <c r="G611" s="10">
        <v>2</v>
      </c>
      <c r="H611">
        <v>56548.85</v>
      </c>
      <c r="I611" s="6">
        <v>0.05</v>
      </c>
      <c r="J611" s="8">
        <v>10703.4</v>
      </c>
      <c r="K611" s="4" t="s">
        <v>65</v>
      </c>
      <c r="L611" t="s">
        <v>21</v>
      </c>
      <c r="M611">
        <f t="shared" si="27"/>
        <v>2827.4425000000001</v>
      </c>
      <c r="N611" s="6">
        <f t="shared" si="28"/>
        <v>0.18927705868465936</v>
      </c>
      <c r="O611" s="6" t="str">
        <f t="shared" si="29"/>
        <v>May</v>
      </c>
    </row>
    <row r="612" spans="1:15">
      <c r="A612" t="s">
        <v>858</v>
      </c>
      <c r="B612" s="2">
        <v>45807</v>
      </c>
      <c r="C612" t="s">
        <v>274</v>
      </c>
      <c r="D612" t="s">
        <v>39</v>
      </c>
      <c r="E612" t="s">
        <v>40</v>
      </c>
      <c r="F612" t="s">
        <v>19</v>
      </c>
      <c r="G612" s="10">
        <v>2</v>
      </c>
      <c r="H612">
        <v>2608.87</v>
      </c>
      <c r="I612" s="6">
        <v>0.1</v>
      </c>
      <c r="J612" s="8">
        <v>480.59</v>
      </c>
      <c r="K612" s="4" t="s">
        <v>27</v>
      </c>
      <c r="L612" t="s">
        <v>21</v>
      </c>
      <c r="M612">
        <f t="shared" si="27"/>
        <v>260.887</v>
      </c>
      <c r="N612" s="6">
        <f t="shared" si="28"/>
        <v>0.1842138550406881</v>
      </c>
      <c r="O612" s="6" t="str">
        <f t="shared" si="29"/>
        <v>May</v>
      </c>
    </row>
    <row r="613" spans="1:15">
      <c r="A613" t="s">
        <v>859</v>
      </c>
      <c r="B613" s="2">
        <v>45840</v>
      </c>
      <c r="C613" t="s">
        <v>361</v>
      </c>
      <c r="D613" t="s">
        <v>50</v>
      </c>
      <c r="E613" t="s">
        <v>40</v>
      </c>
      <c r="F613" t="s">
        <v>70</v>
      </c>
      <c r="G613" s="10">
        <v>3</v>
      </c>
      <c r="H613">
        <v>928.98</v>
      </c>
      <c r="I613" s="6">
        <v>0.15</v>
      </c>
      <c r="J613" s="8">
        <v>122.93</v>
      </c>
      <c r="K613" s="4" t="s">
        <v>27</v>
      </c>
      <c r="L613" t="s">
        <v>21</v>
      </c>
      <c r="M613">
        <f t="shared" si="27"/>
        <v>139.34700000000001</v>
      </c>
      <c r="N613" s="6">
        <f t="shared" si="28"/>
        <v>0.1323279295571487</v>
      </c>
      <c r="O613" s="6" t="str">
        <f t="shared" si="29"/>
        <v>Jul</v>
      </c>
    </row>
    <row r="614" spans="1:15">
      <c r="A614" t="s">
        <v>860</v>
      </c>
      <c r="B614" s="2">
        <v>45983</v>
      </c>
      <c r="C614" t="s">
        <v>577</v>
      </c>
      <c r="D614" t="s">
        <v>146</v>
      </c>
      <c r="E614" t="s">
        <v>25</v>
      </c>
      <c r="F614" t="s">
        <v>107</v>
      </c>
      <c r="G614" s="10">
        <v>1</v>
      </c>
      <c r="H614">
        <v>3477.02</v>
      </c>
      <c r="I614" s="6">
        <v>0.05</v>
      </c>
      <c r="J614" s="8">
        <v>992.66</v>
      </c>
      <c r="K614" s="4" t="s">
        <v>32</v>
      </c>
      <c r="L614" t="s">
        <v>36</v>
      </c>
      <c r="M614">
        <f t="shared" si="27"/>
        <v>173.851</v>
      </c>
      <c r="N614" s="6">
        <f t="shared" si="28"/>
        <v>0.28549159912798888</v>
      </c>
      <c r="O614" s="6" t="str">
        <f t="shared" si="29"/>
        <v>Nov</v>
      </c>
    </row>
    <row r="615" spans="1:15">
      <c r="A615" t="s">
        <v>861</v>
      </c>
      <c r="B615" s="2">
        <v>45748</v>
      </c>
      <c r="C615" t="s">
        <v>220</v>
      </c>
      <c r="D615" t="s">
        <v>17</v>
      </c>
      <c r="E615" t="s">
        <v>18</v>
      </c>
      <c r="F615" t="s">
        <v>107</v>
      </c>
      <c r="G615" s="10">
        <v>4</v>
      </c>
      <c r="H615">
        <v>9633.3700000000008</v>
      </c>
      <c r="I615" s="6">
        <v>0.05</v>
      </c>
      <c r="J615" s="8">
        <v>787.38</v>
      </c>
      <c r="K615" s="4" t="s">
        <v>20</v>
      </c>
      <c r="L615" t="s">
        <v>21</v>
      </c>
      <c r="M615">
        <f t="shared" si="27"/>
        <v>481.66850000000005</v>
      </c>
      <c r="N615" s="6">
        <f t="shared" si="28"/>
        <v>8.1734636996191351E-2</v>
      </c>
      <c r="O615" s="6" t="str">
        <f t="shared" si="29"/>
        <v>Apr</v>
      </c>
    </row>
    <row r="616" spans="1:15">
      <c r="A616" t="s">
        <v>862</v>
      </c>
      <c r="B616" s="2">
        <v>45971</v>
      </c>
      <c r="C616" t="s">
        <v>863</v>
      </c>
      <c r="D616" t="s">
        <v>87</v>
      </c>
      <c r="E616" t="s">
        <v>25</v>
      </c>
      <c r="F616" t="s">
        <v>41</v>
      </c>
      <c r="G616" s="10">
        <v>5</v>
      </c>
      <c r="H616">
        <v>5337.33</v>
      </c>
      <c r="I616" s="6">
        <v>0.25</v>
      </c>
      <c r="J616" s="8">
        <v>431.64</v>
      </c>
      <c r="K616" s="4" t="s">
        <v>32</v>
      </c>
      <c r="L616" t="s">
        <v>21</v>
      </c>
      <c r="M616">
        <f t="shared" si="27"/>
        <v>1334.3325</v>
      </c>
      <c r="N616" s="6">
        <f t="shared" si="28"/>
        <v>8.0871896622468534E-2</v>
      </c>
      <c r="O616" s="6" t="str">
        <f t="shared" si="29"/>
        <v>Nov</v>
      </c>
    </row>
    <row r="617" spans="1:15">
      <c r="A617" t="s">
        <v>864</v>
      </c>
      <c r="B617" s="2">
        <v>45809</v>
      </c>
      <c r="C617" t="s">
        <v>23</v>
      </c>
      <c r="D617" t="s">
        <v>72</v>
      </c>
      <c r="E617" t="s">
        <v>69</v>
      </c>
      <c r="F617" t="s">
        <v>35</v>
      </c>
      <c r="G617" s="10">
        <v>2</v>
      </c>
      <c r="H617">
        <v>80049.77</v>
      </c>
      <c r="I617" s="6">
        <v>0.1</v>
      </c>
      <c r="J617" s="8">
        <v>10449.370000000001</v>
      </c>
      <c r="K617" s="4" t="s">
        <v>65</v>
      </c>
      <c r="L617" t="s">
        <v>36</v>
      </c>
      <c r="M617">
        <f t="shared" si="27"/>
        <v>8004.9770000000008</v>
      </c>
      <c r="N617" s="6">
        <f t="shared" si="28"/>
        <v>0.13053591534366682</v>
      </c>
      <c r="O617" s="6" t="str">
        <f t="shared" si="29"/>
        <v>Jun</v>
      </c>
    </row>
    <row r="618" spans="1:15">
      <c r="A618" t="s">
        <v>865</v>
      </c>
      <c r="B618" s="2">
        <v>45951</v>
      </c>
      <c r="C618" t="s">
        <v>145</v>
      </c>
      <c r="D618" t="s">
        <v>56</v>
      </c>
      <c r="E618" t="s">
        <v>40</v>
      </c>
      <c r="F618" t="s">
        <v>31</v>
      </c>
      <c r="G618" s="10">
        <v>5</v>
      </c>
      <c r="H618">
        <v>8298.42</v>
      </c>
      <c r="I618" s="6">
        <v>0.2</v>
      </c>
      <c r="J618" s="8">
        <v>2158.8200000000002</v>
      </c>
      <c r="K618" s="4" t="s">
        <v>42</v>
      </c>
      <c r="L618" t="s">
        <v>21</v>
      </c>
      <c r="M618">
        <f t="shared" si="27"/>
        <v>1659.6840000000002</v>
      </c>
      <c r="N618" s="6">
        <f t="shared" si="28"/>
        <v>0.2601483173905394</v>
      </c>
      <c r="O618" s="6" t="str">
        <f t="shared" si="29"/>
        <v>Oct</v>
      </c>
    </row>
    <row r="619" spans="1:15">
      <c r="A619" t="s">
        <v>866</v>
      </c>
      <c r="B619" s="2">
        <v>45825</v>
      </c>
      <c r="C619" t="s">
        <v>668</v>
      </c>
      <c r="D619" t="s">
        <v>50</v>
      </c>
      <c r="E619" t="s">
        <v>40</v>
      </c>
      <c r="F619" t="s">
        <v>77</v>
      </c>
      <c r="G619" s="10">
        <v>2</v>
      </c>
      <c r="H619">
        <v>4007.09</v>
      </c>
      <c r="I619" s="6">
        <v>0.15</v>
      </c>
      <c r="J619" s="8">
        <v>1003.1</v>
      </c>
      <c r="K619" s="4" t="s">
        <v>20</v>
      </c>
      <c r="L619" t="s">
        <v>36</v>
      </c>
      <c r="M619">
        <f t="shared" si="27"/>
        <v>601.06349999999998</v>
      </c>
      <c r="N619" s="6">
        <f t="shared" si="28"/>
        <v>0.250331287792388</v>
      </c>
      <c r="O619" s="6" t="str">
        <f t="shared" si="29"/>
        <v>Jun</v>
      </c>
    </row>
    <row r="620" spans="1:15">
      <c r="A620" t="s">
        <v>867</v>
      </c>
      <c r="B620" s="2">
        <v>46004</v>
      </c>
      <c r="C620" t="s">
        <v>325</v>
      </c>
      <c r="D620" t="s">
        <v>24</v>
      </c>
      <c r="E620" t="s">
        <v>25</v>
      </c>
      <c r="F620" t="s">
        <v>70</v>
      </c>
      <c r="G620" s="10">
        <v>1</v>
      </c>
      <c r="H620">
        <v>2071.94</v>
      </c>
      <c r="I620" s="6">
        <v>0</v>
      </c>
      <c r="J620" s="8">
        <v>257.32</v>
      </c>
      <c r="K620" s="4" t="s">
        <v>42</v>
      </c>
      <c r="L620" t="s">
        <v>21</v>
      </c>
      <c r="M620">
        <f t="shared" si="27"/>
        <v>0</v>
      </c>
      <c r="N620" s="6">
        <f t="shared" si="28"/>
        <v>0.12419278550537177</v>
      </c>
      <c r="O620" s="6" t="str">
        <f t="shared" si="29"/>
        <v>Dec</v>
      </c>
    </row>
    <row r="621" spans="1:15">
      <c r="A621" t="s">
        <v>868</v>
      </c>
      <c r="B621" s="2">
        <v>45762</v>
      </c>
      <c r="C621" t="s">
        <v>412</v>
      </c>
      <c r="D621" t="s">
        <v>58</v>
      </c>
      <c r="E621" t="s">
        <v>25</v>
      </c>
      <c r="F621" t="s">
        <v>107</v>
      </c>
      <c r="G621" s="10">
        <v>3</v>
      </c>
      <c r="H621">
        <v>11235.97</v>
      </c>
      <c r="I621" s="6">
        <v>0.2</v>
      </c>
      <c r="J621" s="8">
        <v>2926.45</v>
      </c>
      <c r="K621" s="4" t="s">
        <v>20</v>
      </c>
      <c r="L621" t="s">
        <v>21</v>
      </c>
      <c r="M621">
        <f t="shared" si="27"/>
        <v>2247.194</v>
      </c>
      <c r="N621" s="6">
        <f t="shared" si="28"/>
        <v>0.26045370359657422</v>
      </c>
      <c r="O621" s="6" t="str">
        <f t="shared" si="29"/>
        <v>Apr</v>
      </c>
    </row>
    <row r="622" spans="1:15">
      <c r="A622" t="s">
        <v>869</v>
      </c>
      <c r="B622" s="2">
        <v>45778</v>
      </c>
      <c r="C622" t="s">
        <v>561</v>
      </c>
      <c r="D622" t="s">
        <v>64</v>
      </c>
      <c r="E622" t="s">
        <v>40</v>
      </c>
      <c r="F622" t="s">
        <v>107</v>
      </c>
      <c r="G622" s="10">
        <v>2</v>
      </c>
      <c r="H622">
        <v>2683.81</v>
      </c>
      <c r="I622" s="6">
        <v>0</v>
      </c>
      <c r="J622" s="8">
        <v>640.80999999999995</v>
      </c>
      <c r="K622" s="4" t="s">
        <v>20</v>
      </c>
      <c r="L622" t="s">
        <v>36</v>
      </c>
      <c r="M622">
        <f t="shared" si="27"/>
        <v>0</v>
      </c>
      <c r="N622" s="6">
        <f t="shared" si="28"/>
        <v>0.23876876530007712</v>
      </c>
      <c r="O622" s="6" t="str">
        <f t="shared" si="29"/>
        <v>May</v>
      </c>
    </row>
    <row r="623" spans="1:15">
      <c r="A623" t="s">
        <v>870</v>
      </c>
      <c r="B623" s="2">
        <v>45948</v>
      </c>
      <c r="C623" t="s">
        <v>178</v>
      </c>
      <c r="D623" t="s">
        <v>68</v>
      </c>
      <c r="E623" t="s">
        <v>69</v>
      </c>
      <c r="F623" t="s">
        <v>31</v>
      </c>
      <c r="G623" s="10">
        <v>4</v>
      </c>
      <c r="H623">
        <v>189067.8</v>
      </c>
      <c r="I623" s="6">
        <v>0.05</v>
      </c>
      <c r="J623" s="8">
        <v>39283.620000000003</v>
      </c>
      <c r="K623" s="4" t="s">
        <v>32</v>
      </c>
      <c r="L623" t="s">
        <v>21</v>
      </c>
      <c r="M623">
        <f t="shared" si="27"/>
        <v>9453.39</v>
      </c>
      <c r="N623" s="6">
        <f t="shared" si="28"/>
        <v>0.20777530600133923</v>
      </c>
      <c r="O623" s="6" t="str">
        <f t="shared" si="29"/>
        <v>Oct</v>
      </c>
    </row>
    <row r="624" spans="1:15">
      <c r="A624" t="s">
        <v>871</v>
      </c>
      <c r="B624" s="2">
        <v>45903</v>
      </c>
      <c r="C624" t="s">
        <v>104</v>
      </c>
      <c r="D624" t="s">
        <v>17</v>
      </c>
      <c r="E624" t="s">
        <v>18</v>
      </c>
      <c r="F624" t="s">
        <v>26</v>
      </c>
      <c r="G624" s="10">
        <v>1</v>
      </c>
      <c r="H624">
        <v>668.22</v>
      </c>
      <c r="I624" s="6">
        <v>0.05</v>
      </c>
      <c r="J624" s="8">
        <v>130.06</v>
      </c>
      <c r="K624" s="4" t="s">
        <v>42</v>
      </c>
      <c r="L624" t="s">
        <v>36</v>
      </c>
      <c r="M624">
        <f t="shared" si="27"/>
        <v>33.411000000000001</v>
      </c>
      <c r="N624" s="6">
        <f t="shared" si="28"/>
        <v>0.19463649696207835</v>
      </c>
      <c r="O624" s="6" t="str">
        <f t="shared" si="29"/>
        <v>Sep</v>
      </c>
    </row>
    <row r="625" spans="1:15">
      <c r="A625" t="s">
        <v>872</v>
      </c>
      <c r="B625" s="2">
        <v>45913</v>
      </c>
      <c r="C625" t="s">
        <v>279</v>
      </c>
      <c r="D625" t="s">
        <v>126</v>
      </c>
      <c r="E625" t="s">
        <v>76</v>
      </c>
      <c r="F625" t="s">
        <v>26</v>
      </c>
      <c r="G625" s="10">
        <v>4</v>
      </c>
      <c r="H625">
        <v>9002.5300000000007</v>
      </c>
      <c r="I625" s="6">
        <v>0.05</v>
      </c>
      <c r="J625" s="8">
        <v>529.85</v>
      </c>
      <c r="K625" s="4" t="s">
        <v>32</v>
      </c>
      <c r="L625" t="s">
        <v>21</v>
      </c>
      <c r="M625">
        <f t="shared" si="27"/>
        <v>450.12650000000008</v>
      </c>
      <c r="N625" s="6">
        <f t="shared" si="28"/>
        <v>5.8855677237398818E-2</v>
      </c>
      <c r="O625" s="6" t="str">
        <f t="shared" si="29"/>
        <v>Sep</v>
      </c>
    </row>
    <row r="626" spans="1:15">
      <c r="A626" t="s">
        <v>873</v>
      </c>
      <c r="B626" s="2">
        <v>45982</v>
      </c>
      <c r="C626" t="s">
        <v>216</v>
      </c>
      <c r="D626" t="s">
        <v>30</v>
      </c>
      <c r="E626" t="s">
        <v>18</v>
      </c>
      <c r="F626" t="s">
        <v>35</v>
      </c>
      <c r="G626" s="10">
        <v>1</v>
      </c>
      <c r="H626">
        <v>2944.97</v>
      </c>
      <c r="I626" s="6">
        <v>0.05</v>
      </c>
      <c r="J626" s="8">
        <v>215.67</v>
      </c>
      <c r="K626" s="4" t="s">
        <v>20</v>
      </c>
      <c r="L626" t="s">
        <v>36</v>
      </c>
      <c r="M626">
        <f t="shared" si="27"/>
        <v>147.24850000000001</v>
      </c>
      <c r="N626" s="6">
        <f t="shared" si="28"/>
        <v>7.3233343633381659E-2</v>
      </c>
      <c r="O626" s="6" t="str">
        <f t="shared" si="29"/>
        <v>Nov</v>
      </c>
    </row>
    <row r="627" spans="1:15">
      <c r="A627" t="s">
        <v>874</v>
      </c>
      <c r="B627" s="2">
        <v>45808</v>
      </c>
      <c r="C627" t="s">
        <v>214</v>
      </c>
      <c r="D627" t="s">
        <v>146</v>
      </c>
      <c r="E627" t="s">
        <v>25</v>
      </c>
      <c r="F627" t="s">
        <v>31</v>
      </c>
      <c r="G627" s="10">
        <v>5</v>
      </c>
      <c r="H627">
        <v>3986.22</v>
      </c>
      <c r="I627" s="6">
        <v>0</v>
      </c>
      <c r="J627" s="8">
        <v>357.55</v>
      </c>
      <c r="K627" s="4" t="s">
        <v>65</v>
      </c>
      <c r="L627" t="s">
        <v>21</v>
      </c>
      <c r="M627">
        <f t="shared" si="27"/>
        <v>0</v>
      </c>
      <c r="N627" s="6">
        <f t="shared" si="28"/>
        <v>8.9696504457857332E-2</v>
      </c>
      <c r="O627" s="6" t="str">
        <f t="shared" si="29"/>
        <v>May</v>
      </c>
    </row>
    <row r="628" spans="1:15">
      <c r="A628" t="s">
        <v>875</v>
      </c>
      <c r="B628" s="2">
        <v>45815</v>
      </c>
      <c r="C628" t="s">
        <v>534</v>
      </c>
      <c r="D628" t="s">
        <v>124</v>
      </c>
      <c r="E628" t="s">
        <v>76</v>
      </c>
      <c r="F628" t="s">
        <v>41</v>
      </c>
      <c r="G628" s="10">
        <v>3</v>
      </c>
      <c r="H628">
        <v>28930.78</v>
      </c>
      <c r="I628" s="6">
        <v>0.2</v>
      </c>
      <c r="J628" s="8">
        <v>7049.22</v>
      </c>
      <c r="K628" s="4" t="s">
        <v>27</v>
      </c>
      <c r="L628" t="s">
        <v>21</v>
      </c>
      <c r="M628">
        <f t="shared" si="27"/>
        <v>5786.1559999999999</v>
      </c>
      <c r="N628" s="6">
        <f t="shared" si="28"/>
        <v>0.24365813849471049</v>
      </c>
      <c r="O628" s="6" t="str">
        <f t="shared" si="29"/>
        <v>Jun</v>
      </c>
    </row>
    <row r="629" spans="1:15">
      <c r="A629" t="s">
        <v>876</v>
      </c>
      <c r="B629" s="2">
        <v>45876</v>
      </c>
      <c r="C629" t="s">
        <v>471</v>
      </c>
      <c r="D629" t="s">
        <v>50</v>
      </c>
      <c r="E629" t="s">
        <v>40</v>
      </c>
      <c r="F629" t="s">
        <v>35</v>
      </c>
      <c r="G629" s="10">
        <v>3</v>
      </c>
      <c r="H629">
        <v>4589.33</v>
      </c>
      <c r="I629" s="6">
        <v>0.05</v>
      </c>
      <c r="J629" s="8">
        <v>684.81</v>
      </c>
      <c r="K629" s="4" t="s">
        <v>20</v>
      </c>
      <c r="L629" t="s">
        <v>36</v>
      </c>
      <c r="M629">
        <f t="shared" si="27"/>
        <v>229.4665</v>
      </c>
      <c r="N629" s="6">
        <f t="shared" si="28"/>
        <v>0.14921785968757967</v>
      </c>
      <c r="O629" s="6" t="str">
        <f t="shared" si="29"/>
        <v>Aug</v>
      </c>
    </row>
    <row r="630" spans="1:15">
      <c r="A630" t="s">
        <v>877</v>
      </c>
      <c r="B630" s="2">
        <v>45737</v>
      </c>
      <c r="C630" t="s">
        <v>668</v>
      </c>
      <c r="D630" t="s">
        <v>124</v>
      </c>
      <c r="E630" t="s">
        <v>76</v>
      </c>
      <c r="F630" t="s">
        <v>35</v>
      </c>
      <c r="G630" s="10">
        <v>3</v>
      </c>
      <c r="H630">
        <v>18876.54</v>
      </c>
      <c r="I630" s="6">
        <v>0.25</v>
      </c>
      <c r="J630" s="8">
        <v>2653.11</v>
      </c>
      <c r="K630" s="4" t="s">
        <v>32</v>
      </c>
      <c r="L630" t="s">
        <v>21</v>
      </c>
      <c r="M630">
        <f t="shared" si="27"/>
        <v>4719.1350000000002</v>
      </c>
      <c r="N630" s="6">
        <f t="shared" si="28"/>
        <v>0.14055065176139273</v>
      </c>
      <c r="O630" s="6" t="str">
        <f t="shared" si="29"/>
        <v>Mar</v>
      </c>
    </row>
    <row r="631" spans="1:15">
      <c r="A631" t="s">
        <v>878</v>
      </c>
      <c r="B631" s="2">
        <v>45940</v>
      </c>
      <c r="C631" t="s">
        <v>44</v>
      </c>
      <c r="D631" t="s">
        <v>68</v>
      </c>
      <c r="E631" t="s">
        <v>69</v>
      </c>
      <c r="F631" t="s">
        <v>70</v>
      </c>
      <c r="G631" s="10">
        <v>4</v>
      </c>
      <c r="H631">
        <v>190923.46</v>
      </c>
      <c r="I631" s="6">
        <v>0</v>
      </c>
      <c r="J631" s="8">
        <v>44905.04</v>
      </c>
      <c r="K631" s="4" t="s">
        <v>42</v>
      </c>
      <c r="L631" t="s">
        <v>21</v>
      </c>
      <c r="M631">
        <f t="shared" si="27"/>
        <v>0</v>
      </c>
      <c r="N631" s="6">
        <f t="shared" si="28"/>
        <v>0.23519917353268163</v>
      </c>
      <c r="O631" s="6" t="str">
        <f t="shared" si="29"/>
        <v>Oct</v>
      </c>
    </row>
    <row r="632" spans="1:15">
      <c r="A632" t="s">
        <v>879</v>
      </c>
      <c r="B632" s="2">
        <v>45855</v>
      </c>
      <c r="C632" t="s">
        <v>464</v>
      </c>
      <c r="D632" t="s">
        <v>68</v>
      </c>
      <c r="E632" t="s">
        <v>69</v>
      </c>
      <c r="F632" t="s">
        <v>77</v>
      </c>
      <c r="G632" s="10">
        <v>5</v>
      </c>
      <c r="H632">
        <v>193744.42</v>
      </c>
      <c r="I632" s="6">
        <v>0.2</v>
      </c>
      <c r="J632" s="8">
        <v>50302.16</v>
      </c>
      <c r="K632" s="4" t="s">
        <v>27</v>
      </c>
      <c r="L632" t="s">
        <v>21</v>
      </c>
      <c r="M632">
        <f t="shared" si="27"/>
        <v>38748.884000000005</v>
      </c>
      <c r="N632" s="6">
        <f t="shared" si="28"/>
        <v>0.25963152900093844</v>
      </c>
      <c r="O632" s="6" t="str">
        <f t="shared" si="29"/>
        <v>Jul</v>
      </c>
    </row>
    <row r="633" spans="1:15">
      <c r="A633" t="s">
        <v>880</v>
      </c>
      <c r="B633" s="2">
        <v>45881</v>
      </c>
      <c r="C633" t="s">
        <v>552</v>
      </c>
      <c r="D633" t="s">
        <v>24</v>
      </c>
      <c r="E633" t="s">
        <v>25</v>
      </c>
      <c r="F633" t="s">
        <v>107</v>
      </c>
      <c r="G633" s="10">
        <v>1</v>
      </c>
      <c r="H633">
        <v>2329.23</v>
      </c>
      <c r="I633" s="6">
        <v>0.15</v>
      </c>
      <c r="J633" s="8">
        <v>210.07</v>
      </c>
      <c r="K633" s="4" t="s">
        <v>32</v>
      </c>
      <c r="L633" t="s">
        <v>21</v>
      </c>
      <c r="M633">
        <f t="shared" si="27"/>
        <v>349.3845</v>
      </c>
      <c r="N633" s="6">
        <f t="shared" si="28"/>
        <v>9.0188603100595469E-2</v>
      </c>
      <c r="O633" s="6" t="str">
        <f t="shared" si="29"/>
        <v>Aug</v>
      </c>
    </row>
    <row r="634" spans="1:15">
      <c r="A634" t="s">
        <v>881</v>
      </c>
      <c r="B634" s="2">
        <v>45694</v>
      </c>
      <c r="C634" t="s">
        <v>161</v>
      </c>
      <c r="D634" t="s">
        <v>45</v>
      </c>
      <c r="E634" t="s">
        <v>18</v>
      </c>
      <c r="F634" t="s">
        <v>35</v>
      </c>
      <c r="G634" s="10">
        <v>2</v>
      </c>
      <c r="H634">
        <v>3735.84</v>
      </c>
      <c r="I634" s="6">
        <v>0.1</v>
      </c>
      <c r="J634" s="8">
        <v>1072.21</v>
      </c>
      <c r="K634" s="4" t="s">
        <v>32</v>
      </c>
      <c r="L634" t="s">
        <v>36</v>
      </c>
      <c r="M634">
        <f t="shared" si="27"/>
        <v>373.58400000000006</v>
      </c>
      <c r="N634" s="6">
        <f t="shared" si="28"/>
        <v>0.28700640284380485</v>
      </c>
      <c r="O634" s="6" t="str">
        <f t="shared" si="29"/>
        <v>Feb</v>
      </c>
    </row>
    <row r="635" spans="1:15">
      <c r="A635" t="s">
        <v>882</v>
      </c>
      <c r="B635" s="2">
        <v>45924</v>
      </c>
      <c r="C635" t="s">
        <v>167</v>
      </c>
      <c r="D635" t="s">
        <v>84</v>
      </c>
      <c r="E635" t="s">
        <v>18</v>
      </c>
      <c r="F635" t="s">
        <v>31</v>
      </c>
      <c r="G635" s="10">
        <v>1</v>
      </c>
      <c r="H635">
        <v>2711.12</v>
      </c>
      <c r="I635" s="6">
        <v>0.15</v>
      </c>
      <c r="J635" s="8">
        <v>638.34</v>
      </c>
      <c r="K635" s="4" t="s">
        <v>32</v>
      </c>
      <c r="L635" t="s">
        <v>21</v>
      </c>
      <c r="M635">
        <f t="shared" si="27"/>
        <v>406.66799999999995</v>
      </c>
      <c r="N635" s="6">
        <f t="shared" si="28"/>
        <v>0.23545250671309276</v>
      </c>
      <c r="O635" s="6" t="str">
        <f t="shared" si="29"/>
        <v>Sep</v>
      </c>
    </row>
    <row r="636" spans="1:15">
      <c r="A636" t="s">
        <v>883</v>
      </c>
      <c r="B636" s="2">
        <v>46021</v>
      </c>
      <c r="C636" t="s">
        <v>658</v>
      </c>
      <c r="D636" t="s">
        <v>39</v>
      </c>
      <c r="E636" t="s">
        <v>40</v>
      </c>
      <c r="F636" t="s">
        <v>31</v>
      </c>
      <c r="G636" s="10">
        <v>2</v>
      </c>
      <c r="H636">
        <v>2798.63</v>
      </c>
      <c r="I636" s="6">
        <v>0.15</v>
      </c>
      <c r="J636" s="8">
        <v>372.17</v>
      </c>
      <c r="K636" s="4" t="s">
        <v>32</v>
      </c>
      <c r="L636" t="s">
        <v>21</v>
      </c>
      <c r="M636">
        <f t="shared" si="27"/>
        <v>419.79450000000003</v>
      </c>
      <c r="N636" s="6">
        <f t="shared" si="28"/>
        <v>0.13298292378771043</v>
      </c>
      <c r="O636" s="6" t="str">
        <f t="shared" si="29"/>
        <v>Dec</v>
      </c>
    </row>
    <row r="637" spans="1:15">
      <c r="A637" t="s">
        <v>884</v>
      </c>
      <c r="B637" s="2">
        <v>45780</v>
      </c>
      <c r="C637" t="s">
        <v>94</v>
      </c>
      <c r="D637" t="s">
        <v>87</v>
      </c>
      <c r="E637" t="s">
        <v>25</v>
      </c>
      <c r="F637" t="s">
        <v>77</v>
      </c>
      <c r="G637" s="10">
        <v>5</v>
      </c>
      <c r="H637">
        <v>4059.48</v>
      </c>
      <c r="I637" s="6">
        <v>0.05</v>
      </c>
      <c r="J637" s="8">
        <v>391.72</v>
      </c>
      <c r="K637" s="4" t="s">
        <v>27</v>
      </c>
      <c r="L637" t="s">
        <v>21</v>
      </c>
      <c r="M637">
        <f t="shared" si="27"/>
        <v>202.97400000000002</v>
      </c>
      <c r="N637" s="6">
        <f t="shared" si="28"/>
        <v>9.6495117601269137E-2</v>
      </c>
      <c r="O637" s="6" t="str">
        <f t="shared" si="29"/>
        <v>May</v>
      </c>
    </row>
    <row r="638" spans="1:15">
      <c r="A638" t="s">
        <v>885</v>
      </c>
      <c r="B638" s="2">
        <v>46021</v>
      </c>
      <c r="C638" t="s">
        <v>167</v>
      </c>
      <c r="D638" t="s">
        <v>53</v>
      </c>
      <c r="E638" t="s">
        <v>25</v>
      </c>
      <c r="F638" t="s">
        <v>41</v>
      </c>
      <c r="G638" s="10">
        <v>4</v>
      </c>
      <c r="H638">
        <v>3344.88</v>
      </c>
      <c r="I638" s="6">
        <v>0.25</v>
      </c>
      <c r="J638" s="8">
        <v>548.49</v>
      </c>
      <c r="K638" s="4" t="s">
        <v>20</v>
      </c>
      <c r="L638" t="s">
        <v>21</v>
      </c>
      <c r="M638">
        <f t="shared" si="27"/>
        <v>836.22</v>
      </c>
      <c r="N638" s="6">
        <f t="shared" si="28"/>
        <v>0.1639789768242807</v>
      </c>
      <c r="O638" s="6" t="str">
        <f t="shared" si="29"/>
        <v>Dec</v>
      </c>
    </row>
    <row r="639" spans="1:15">
      <c r="A639" t="s">
        <v>886</v>
      </c>
      <c r="B639" s="2">
        <v>45963</v>
      </c>
      <c r="C639" t="s">
        <v>102</v>
      </c>
      <c r="D639" t="s">
        <v>24</v>
      </c>
      <c r="E639" t="s">
        <v>25</v>
      </c>
      <c r="F639" t="s">
        <v>70</v>
      </c>
      <c r="G639" s="10">
        <v>5</v>
      </c>
      <c r="H639">
        <v>19027.71</v>
      </c>
      <c r="I639" s="6">
        <v>0.15</v>
      </c>
      <c r="J639" s="8">
        <v>3258.93</v>
      </c>
      <c r="K639" s="4" t="s">
        <v>32</v>
      </c>
      <c r="L639" t="s">
        <v>36</v>
      </c>
      <c r="M639">
        <f t="shared" si="27"/>
        <v>2854.1564999999996</v>
      </c>
      <c r="N639" s="6">
        <f t="shared" si="28"/>
        <v>0.17127284365801246</v>
      </c>
      <c r="O639" s="6" t="str">
        <f t="shared" si="29"/>
        <v>Nov</v>
      </c>
    </row>
    <row r="640" spans="1:15">
      <c r="A640" t="s">
        <v>887</v>
      </c>
      <c r="B640" s="2">
        <v>45900</v>
      </c>
      <c r="C640" t="s">
        <v>224</v>
      </c>
      <c r="D640" t="s">
        <v>95</v>
      </c>
      <c r="E640" t="s">
        <v>76</v>
      </c>
      <c r="F640" t="s">
        <v>77</v>
      </c>
      <c r="G640" s="10">
        <v>1</v>
      </c>
      <c r="H640">
        <v>1161.3499999999999</v>
      </c>
      <c r="I640" s="6">
        <v>0.1</v>
      </c>
      <c r="J640" s="8">
        <v>92.53</v>
      </c>
      <c r="K640" s="4" t="s">
        <v>32</v>
      </c>
      <c r="L640" t="s">
        <v>21</v>
      </c>
      <c r="M640">
        <f t="shared" si="27"/>
        <v>116.13499999999999</v>
      </c>
      <c r="N640" s="6">
        <f t="shared" si="28"/>
        <v>7.9674516726223804E-2</v>
      </c>
      <c r="O640" s="6" t="str">
        <f t="shared" si="29"/>
        <v>Aug</v>
      </c>
    </row>
    <row r="641" spans="1:15">
      <c r="A641" t="s">
        <v>888</v>
      </c>
      <c r="B641" s="2">
        <v>45915</v>
      </c>
      <c r="C641" t="s">
        <v>306</v>
      </c>
      <c r="D641" t="s">
        <v>17</v>
      </c>
      <c r="E641" t="s">
        <v>18</v>
      </c>
      <c r="F641" t="s">
        <v>41</v>
      </c>
      <c r="G641" s="10">
        <v>5</v>
      </c>
      <c r="H641">
        <v>3744.18</v>
      </c>
      <c r="I641" s="6">
        <v>0.25</v>
      </c>
      <c r="J641" s="8">
        <v>1095.3499999999999</v>
      </c>
      <c r="K641" s="4" t="s">
        <v>32</v>
      </c>
      <c r="L641" t="s">
        <v>36</v>
      </c>
      <c r="M641">
        <f t="shared" si="27"/>
        <v>936.04499999999996</v>
      </c>
      <c r="N641" s="6">
        <f t="shared" si="28"/>
        <v>0.29254736684667937</v>
      </c>
      <c r="O641" s="6" t="str">
        <f t="shared" si="29"/>
        <v>Sep</v>
      </c>
    </row>
    <row r="642" spans="1:15">
      <c r="A642" t="s">
        <v>889</v>
      </c>
      <c r="B642" s="2">
        <v>45886</v>
      </c>
      <c r="C642" t="s">
        <v>593</v>
      </c>
      <c r="D642" t="s">
        <v>146</v>
      </c>
      <c r="E642" t="s">
        <v>25</v>
      </c>
      <c r="F642" t="s">
        <v>35</v>
      </c>
      <c r="G642" s="10">
        <v>2</v>
      </c>
      <c r="H642">
        <v>8998.7199999999993</v>
      </c>
      <c r="I642" s="6">
        <v>0.1</v>
      </c>
      <c r="J642" s="8">
        <v>1933.45</v>
      </c>
      <c r="K642" s="4" t="s">
        <v>42</v>
      </c>
      <c r="L642" t="s">
        <v>36</v>
      </c>
      <c r="M642">
        <f t="shared" si="27"/>
        <v>899.87199999999996</v>
      </c>
      <c r="N642" s="6">
        <f t="shared" si="28"/>
        <v>0.21485833540770244</v>
      </c>
      <c r="O642" s="6" t="str">
        <f t="shared" si="29"/>
        <v>Aug</v>
      </c>
    </row>
    <row r="643" spans="1:15">
      <c r="A643" t="s">
        <v>890</v>
      </c>
      <c r="B643" s="2">
        <v>45856</v>
      </c>
      <c r="C643" t="s">
        <v>315</v>
      </c>
      <c r="D643" t="s">
        <v>87</v>
      </c>
      <c r="E643" t="s">
        <v>25</v>
      </c>
      <c r="F643" t="s">
        <v>35</v>
      </c>
      <c r="G643" s="10">
        <v>5</v>
      </c>
      <c r="H643">
        <v>17340.71</v>
      </c>
      <c r="I643" s="6">
        <v>0.25</v>
      </c>
      <c r="J643" s="8">
        <v>1857.12</v>
      </c>
      <c r="K643" s="4" t="s">
        <v>42</v>
      </c>
      <c r="L643" t="s">
        <v>21</v>
      </c>
      <c r="M643">
        <f t="shared" ref="M643:M701" si="30">H643*I643</f>
        <v>4335.1774999999998</v>
      </c>
      <c r="N643" s="6">
        <f t="shared" ref="N643:N701" si="31">IFERROR(J643/H643,0)</f>
        <v>0.10709596089202807</v>
      </c>
      <c r="O643" s="6" t="str">
        <f t="shared" ref="O643:O704" si="32">TEXT(B643,"mmm")</f>
        <v>Jul</v>
      </c>
    </row>
    <row r="644" spans="1:15">
      <c r="A644" t="s">
        <v>891</v>
      </c>
      <c r="B644" s="2">
        <v>45793</v>
      </c>
      <c r="C644" t="s">
        <v>284</v>
      </c>
      <c r="D644" t="s">
        <v>250</v>
      </c>
      <c r="E644" t="s">
        <v>76</v>
      </c>
      <c r="F644" t="s">
        <v>107</v>
      </c>
      <c r="G644" s="10">
        <v>2</v>
      </c>
      <c r="H644">
        <v>21419.06</v>
      </c>
      <c r="I644" s="6">
        <v>0.2</v>
      </c>
      <c r="J644" s="8">
        <v>3302.5</v>
      </c>
      <c r="K644" s="4" t="s">
        <v>65</v>
      </c>
      <c r="L644" t="s">
        <v>21</v>
      </c>
      <c r="M644">
        <f t="shared" si="30"/>
        <v>4283.8120000000008</v>
      </c>
      <c r="N644" s="6">
        <f t="shared" si="31"/>
        <v>0.15418510429495971</v>
      </c>
      <c r="O644" s="6" t="str">
        <f t="shared" si="32"/>
        <v>May</v>
      </c>
    </row>
    <row r="645" spans="1:15">
      <c r="A645" t="s">
        <v>892</v>
      </c>
      <c r="B645" s="2">
        <v>45883</v>
      </c>
      <c r="C645" t="s">
        <v>590</v>
      </c>
      <c r="D645" t="s">
        <v>126</v>
      </c>
      <c r="E645" t="s">
        <v>76</v>
      </c>
      <c r="F645" t="s">
        <v>77</v>
      </c>
      <c r="G645" s="10">
        <v>4</v>
      </c>
      <c r="H645">
        <v>41601.919999999998</v>
      </c>
      <c r="I645" s="6">
        <v>0.15</v>
      </c>
      <c r="J645" s="8">
        <v>3466.77</v>
      </c>
      <c r="K645" s="4" t="s">
        <v>42</v>
      </c>
      <c r="L645" t="s">
        <v>36</v>
      </c>
      <c r="M645">
        <f t="shared" si="30"/>
        <v>6240.2879999999996</v>
      </c>
      <c r="N645" s="6">
        <f t="shared" si="31"/>
        <v>8.3331971216713083E-2</v>
      </c>
      <c r="O645" s="6" t="str">
        <f t="shared" si="32"/>
        <v>Aug</v>
      </c>
    </row>
    <row r="646" spans="1:15">
      <c r="A646" t="s">
        <v>893</v>
      </c>
      <c r="B646" s="2">
        <v>45887</v>
      </c>
      <c r="C646" t="s">
        <v>226</v>
      </c>
      <c r="D646" t="s">
        <v>30</v>
      </c>
      <c r="E646" t="s">
        <v>18</v>
      </c>
      <c r="F646" t="s">
        <v>26</v>
      </c>
      <c r="G646" s="10">
        <v>4</v>
      </c>
      <c r="H646">
        <v>731.16</v>
      </c>
      <c r="I646" s="6">
        <v>0.15</v>
      </c>
      <c r="J646" s="8">
        <v>75.489999999999995</v>
      </c>
      <c r="K646" s="4" t="s">
        <v>32</v>
      </c>
      <c r="L646" t="s">
        <v>21</v>
      </c>
      <c r="M646">
        <f t="shared" si="30"/>
        <v>109.67399999999999</v>
      </c>
      <c r="N646" s="6">
        <f t="shared" si="31"/>
        <v>0.10324689534438426</v>
      </c>
      <c r="O646" s="6" t="str">
        <f t="shared" si="32"/>
        <v>Aug</v>
      </c>
    </row>
    <row r="647" spans="1:15">
      <c r="A647" t="s">
        <v>894</v>
      </c>
      <c r="B647" s="2">
        <v>45846</v>
      </c>
      <c r="C647" t="s">
        <v>226</v>
      </c>
      <c r="D647" t="s">
        <v>53</v>
      </c>
      <c r="E647" t="s">
        <v>25</v>
      </c>
      <c r="F647" t="s">
        <v>41</v>
      </c>
      <c r="G647" s="10">
        <v>2</v>
      </c>
      <c r="H647">
        <v>5429.05</v>
      </c>
      <c r="I647" s="6">
        <v>0.05</v>
      </c>
      <c r="J647" s="8">
        <v>941.71</v>
      </c>
      <c r="K647" s="4" t="s">
        <v>20</v>
      </c>
      <c r="L647" t="s">
        <v>21</v>
      </c>
      <c r="M647">
        <f t="shared" si="30"/>
        <v>271.45250000000004</v>
      </c>
      <c r="N647" s="6">
        <f t="shared" si="31"/>
        <v>0.17345760307972849</v>
      </c>
      <c r="O647" s="6" t="str">
        <f t="shared" si="32"/>
        <v>Jul</v>
      </c>
    </row>
    <row r="648" spans="1:15">
      <c r="A648" t="s">
        <v>895</v>
      </c>
      <c r="B648" s="2">
        <v>45696</v>
      </c>
      <c r="C648" t="s">
        <v>561</v>
      </c>
      <c r="D648" t="s">
        <v>217</v>
      </c>
      <c r="E648" t="s">
        <v>18</v>
      </c>
      <c r="F648" t="s">
        <v>107</v>
      </c>
      <c r="G648" s="10">
        <v>3</v>
      </c>
      <c r="H648">
        <v>685.21</v>
      </c>
      <c r="I648" s="6">
        <v>0.15</v>
      </c>
      <c r="J648" s="8">
        <v>120.73</v>
      </c>
      <c r="K648" s="4" t="s">
        <v>32</v>
      </c>
      <c r="L648" t="s">
        <v>21</v>
      </c>
      <c r="M648">
        <f t="shared" si="30"/>
        <v>102.78150000000001</v>
      </c>
      <c r="N648" s="6">
        <f t="shared" si="31"/>
        <v>0.17619415945476569</v>
      </c>
      <c r="O648" s="6" t="str">
        <f t="shared" si="32"/>
        <v>Feb</v>
      </c>
    </row>
    <row r="649" spans="1:15">
      <c r="A649" t="s">
        <v>896</v>
      </c>
      <c r="B649" s="2">
        <v>45943</v>
      </c>
      <c r="C649" t="s">
        <v>182</v>
      </c>
      <c r="D649" t="s">
        <v>191</v>
      </c>
      <c r="E649" t="s">
        <v>69</v>
      </c>
      <c r="F649" t="s">
        <v>77</v>
      </c>
      <c r="G649" s="10">
        <v>3</v>
      </c>
      <c r="H649">
        <v>37149.699999999997</v>
      </c>
      <c r="I649" s="6">
        <v>0.05</v>
      </c>
      <c r="J649" s="8">
        <v>9113.69</v>
      </c>
      <c r="K649" s="4" t="s">
        <v>32</v>
      </c>
      <c r="L649" t="s">
        <v>36</v>
      </c>
      <c r="M649">
        <f t="shared" si="30"/>
        <v>1857.4849999999999</v>
      </c>
      <c r="N649" s="6">
        <f t="shared" si="31"/>
        <v>0.24532338080792043</v>
      </c>
      <c r="O649" s="6" t="str">
        <f t="shared" si="32"/>
        <v>Oct</v>
      </c>
    </row>
    <row r="650" spans="1:15">
      <c r="A650" t="s">
        <v>897</v>
      </c>
      <c r="B650" s="2">
        <v>45879</v>
      </c>
      <c r="C650" t="s">
        <v>898</v>
      </c>
      <c r="D650" t="s">
        <v>17</v>
      </c>
      <c r="E650" t="s">
        <v>18</v>
      </c>
      <c r="F650" t="s">
        <v>26</v>
      </c>
      <c r="G650" s="10">
        <v>2</v>
      </c>
      <c r="H650">
        <v>7082.85</v>
      </c>
      <c r="I650" s="6">
        <v>0.05</v>
      </c>
      <c r="J650" s="8">
        <v>1035.4000000000001</v>
      </c>
      <c r="K650" s="4" t="s">
        <v>20</v>
      </c>
      <c r="L650" t="s">
        <v>21</v>
      </c>
      <c r="M650">
        <f t="shared" si="30"/>
        <v>354.14250000000004</v>
      </c>
      <c r="N650" s="6">
        <f t="shared" si="31"/>
        <v>0.14618409256161008</v>
      </c>
      <c r="O650" s="6" t="str">
        <f t="shared" si="32"/>
        <v>Aug</v>
      </c>
    </row>
    <row r="651" spans="1:15">
      <c r="A651" t="s">
        <v>899</v>
      </c>
      <c r="B651" s="2">
        <v>45761</v>
      </c>
      <c r="C651" t="s">
        <v>668</v>
      </c>
      <c r="D651" t="s">
        <v>90</v>
      </c>
      <c r="E651" t="s">
        <v>69</v>
      </c>
      <c r="F651" t="s">
        <v>77</v>
      </c>
      <c r="G651" s="10">
        <v>5</v>
      </c>
      <c r="H651">
        <v>166151.15</v>
      </c>
      <c r="I651" s="6">
        <v>0.1</v>
      </c>
      <c r="J651" s="8">
        <v>13022.9</v>
      </c>
      <c r="K651" s="4" t="s">
        <v>20</v>
      </c>
      <c r="L651" t="s">
        <v>36</v>
      </c>
      <c r="M651">
        <f t="shared" si="30"/>
        <v>16615.115000000002</v>
      </c>
      <c r="N651" s="6">
        <f t="shared" si="31"/>
        <v>7.8379836672812675E-2</v>
      </c>
      <c r="O651" s="6" t="str">
        <f t="shared" si="32"/>
        <v>Apr</v>
      </c>
    </row>
    <row r="652" spans="1:15">
      <c r="A652" t="s">
        <v>900</v>
      </c>
      <c r="B652" s="2">
        <v>45794</v>
      </c>
      <c r="C652" t="s">
        <v>81</v>
      </c>
      <c r="D652" t="s">
        <v>191</v>
      </c>
      <c r="E652" t="s">
        <v>69</v>
      </c>
      <c r="F652" t="s">
        <v>70</v>
      </c>
      <c r="G652" s="10">
        <v>3</v>
      </c>
      <c r="H652">
        <v>150519.71</v>
      </c>
      <c r="I652" s="6">
        <v>0.2</v>
      </c>
      <c r="J652" s="8">
        <v>40707.17</v>
      </c>
      <c r="K652" s="4" t="s">
        <v>42</v>
      </c>
      <c r="L652" t="s">
        <v>21</v>
      </c>
      <c r="M652">
        <f t="shared" si="30"/>
        <v>30103.941999999999</v>
      </c>
      <c r="N652" s="6">
        <f t="shared" si="31"/>
        <v>0.27044411658778772</v>
      </c>
      <c r="O652" s="6" t="str">
        <f t="shared" si="32"/>
        <v>May</v>
      </c>
    </row>
    <row r="653" spans="1:15">
      <c r="A653" t="s">
        <v>901</v>
      </c>
      <c r="B653" s="2">
        <v>45665</v>
      </c>
      <c r="C653" t="s">
        <v>414</v>
      </c>
      <c r="D653" t="s">
        <v>75</v>
      </c>
      <c r="E653" t="s">
        <v>76</v>
      </c>
      <c r="F653" t="s">
        <v>70</v>
      </c>
      <c r="G653" s="10">
        <v>3</v>
      </c>
      <c r="H653">
        <v>21717.51</v>
      </c>
      <c r="I653" s="6">
        <v>0.25</v>
      </c>
      <c r="J653" s="8">
        <v>3179.33</v>
      </c>
      <c r="K653" s="4" t="s">
        <v>42</v>
      </c>
      <c r="L653" t="s">
        <v>21</v>
      </c>
      <c r="M653">
        <f t="shared" si="30"/>
        <v>5429.3774999999996</v>
      </c>
      <c r="N653" s="6">
        <f t="shared" si="31"/>
        <v>0.14639477545998597</v>
      </c>
      <c r="O653" s="6" t="str">
        <f t="shared" si="32"/>
        <v>Jan</v>
      </c>
    </row>
    <row r="654" spans="1:15">
      <c r="A654" t="s">
        <v>902</v>
      </c>
      <c r="B654" s="2">
        <v>45832</v>
      </c>
      <c r="C654" t="s">
        <v>155</v>
      </c>
      <c r="D654" t="s">
        <v>30</v>
      </c>
      <c r="E654" t="s">
        <v>18</v>
      </c>
      <c r="F654" t="s">
        <v>107</v>
      </c>
      <c r="G654" s="10">
        <v>4</v>
      </c>
      <c r="H654">
        <v>9497.6200000000008</v>
      </c>
      <c r="I654" s="6">
        <v>0.2</v>
      </c>
      <c r="J654" s="8">
        <v>985.08</v>
      </c>
      <c r="K654" s="4" t="s">
        <v>20</v>
      </c>
      <c r="L654" t="s">
        <v>21</v>
      </c>
      <c r="M654">
        <f t="shared" si="30"/>
        <v>1899.5240000000003</v>
      </c>
      <c r="N654" s="6">
        <f t="shared" si="31"/>
        <v>0.10371861582164794</v>
      </c>
      <c r="O654" s="6" t="str">
        <f t="shared" si="32"/>
        <v>Jun</v>
      </c>
    </row>
    <row r="655" spans="1:15">
      <c r="A655" t="s">
        <v>903</v>
      </c>
      <c r="B655" s="2">
        <v>45919</v>
      </c>
      <c r="C655" t="s">
        <v>190</v>
      </c>
      <c r="D655" t="s">
        <v>61</v>
      </c>
      <c r="E655" t="s">
        <v>40</v>
      </c>
      <c r="F655" t="s">
        <v>19</v>
      </c>
      <c r="G655" s="10">
        <v>3</v>
      </c>
      <c r="H655">
        <v>4189.18</v>
      </c>
      <c r="I655" s="6">
        <v>0</v>
      </c>
      <c r="J655" s="8">
        <v>334.41</v>
      </c>
      <c r="K655" s="4" t="s">
        <v>27</v>
      </c>
      <c r="L655" t="s">
        <v>21</v>
      </c>
      <c r="M655">
        <f t="shared" si="30"/>
        <v>0</v>
      </c>
      <c r="N655" s="6">
        <f t="shared" si="31"/>
        <v>7.982707833036537E-2</v>
      </c>
      <c r="O655" s="6" t="str">
        <f t="shared" si="32"/>
        <v>Sep</v>
      </c>
    </row>
    <row r="656" spans="1:15">
      <c r="A656" t="s">
        <v>904</v>
      </c>
      <c r="B656" s="2">
        <v>45669</v>
      </c>
      <c r="C656" t="s">
        <v>863</v>
      </c>
      <c r="D656" t="s">
        <v>72</v>
      </c>
      <c r="E656" t="s">
        <v>69</v>
      </c>
      <c r="F656" t="s">
        <v>26</v>
      </c>
      <c r="G656" s="10">
        <v>2</v>
      </c>
      <c r="H656">
        <v>8367.94</v>
      </c>
      <c r="I656" s="6">
        <v>0</v>
      </c>
      <c r="J656" s="8">
        <v>2342.25</v>
      </c>
      <c r="K656" s="4" t="s">
        <v>20</v>
      </c>
      <c r="L656" t="s">
        <v>36</v>
      </c>
      <c r="M656">
        <f t="shared" si="30"/>
        <v>0</v>
      </c>
      <c r="N656" s="6">
        <f t="shared" si="31"/>
        <v>0.27990759971988327</v>
      </c>
      <c r="O656" s="6" t="str">
        <f t="shared" si="32"/>
        <v>Jan</v>
      </c>
    </row>
    <row r="657" spans="1:15">
      <c r="A657" t="s">
        <v>905</v>
      </c>
      <c r="B657" s="2">
        <v>45925</v>
      </c>
      <c r="C657" t="s">
        <v>640</v>
      </c>
      <c r="D657" t="s">
        <v>90</v>
      </c>
      <c r="E657" t="s">
        <v>69</v>
      </c>
      <c r="F657" t="s">
        <v>19</v>
      </c>
      <c r="G657" s="10">
        <v>3</v>
      </c>
      <c r="H657">
        <v>95004.58</v>
      </c>
      <c r="I657" s="6">
        <v>0.25</v>
      </c>
      <c r="J657" s="8">
        <v>23246.23</v>
      </c>
      <c r="K657" s="4" t="s">
        <v>20</v>
      </c>
      <c r="L657" t="s">
        <v>21</v>
      </c>
      <c r="M657">
        <f t="shared" si="30"/>
        <v>23751.145</v>
      </c>
      <c r="N657" s="6">
        <f t="shared" si="31"/>
        <v>0.2446853614846779</v>
      </c>
      <c r="O657" s="6" t="str">
        <f t="shared" si="32"/>
        <v>Sep</v>
      </c>
    </row>
    <row r="658" spans="1:15">
      <c r="A658" t="s">
        <v>906</v>
      </c>
      <c r="B658" s="2">
        <v>45849</v>
      </c>
      <c r="C658" t="s">
        <v>563</v>
      </c>
      <c r="D658" t="s">
        <v>191</v>
      </c>
      <c r="E658" t="s">
        <v>69</v>
      </c>
      <c r="F658" t="s">
        <v>19</v>
      </c>
      <c r="G658" s="10">
        <v>3</v>
      </c>
      <c r="H658">
        <v>32552.44</v>
      </c>
      <c r="I658" s="6">
        <v>0.1</v>
      </c>
      <c r="J658" s="8">
        <v>5481.82</v>
      </c>
      <c r="K658" s="4" t="s">
        <v>27</v>
      </c>
      <c r="L658" t="s">
        <v>21</v>
      </c>
      <c r="M658">
        <f t="shared" si="30"/>
        <v>3255.2440000000001</v>
      </c>
      <c r="N658" s="6">
        <f t="shared" si="31"/>
        <v>0.16839966527854747</v>
      </c>
      <c r="O658" s="6" t="str">
        <f t="shared" si="32"/>
        <v>Jul</v>
      </c>
    </row>
    <row r="659" spans="1:15">
      <c r="A659" t="s">
        <v>907</v>
      </c>
      <c r="B659" s="2">
        <v>45949</v>
      </c>
      <c r="C659" t="s">
        <v>426</v>
      </c>
      <c r="D659" t="s">
        <v>191</v>
      </c>
      <c r="E659" t="s">
        <v>69</v>
      </c>
      <c r="F659" t="s">
        <v>35</v>
      </c>
      <c r="G659" s="10">
        <v>1</v>
      </c>
      <c r="H659">
        <v>30699.58</v>
      </c>
      <c r="I659" s="6">
        <v>0</v>
      </c>
      <c r="J659" s="8">
        <v>5340.94</v>
      </c>
      <c r="K659" s="4" t="s">
        <v>42</v>
      </c>
      <c r="L659" t="s">
        <v>21</v>
      </c>
      <c r="M659">
        <f t="shared" si="30"/>
        <v>0</v>
      </c>
      <c r="N659" s="6">
        <f t="shared" si="31"/>
        <v>0.17397436707603164</v>
      </c>
      <c r="O659" s="6" t="str">
        <f t="shared" si="32"/>
        <v>Oct</v>
      </c>
    </row>
    <row r="660" spans="1:15">
      <c r="A660" t="s">
        <v>908</v>
      </c>
      <c r="B660" s="2">
        <v>45797</v>
      </c>
      <c r="C660" t="s">
        <v>252</v>
      </c>
      <c r="D660" t="s">
        <v>90</v>
      </c>
      <c r="E660" t="s">
        <v>69</v>
      </c>
      <c r="F660" t="s">
        <v>107</v>
      </c>
      <c r="G660" s="10">
        <v>5</v>
      </c>
      <c r="H660">
        <v>84462.06</v>
      </c>
      <c r="I660" s="6">
        <v>0.25</v>
      </c>
      <c r="J660" s="8">
        <v>10513.83</v>
      </c>
      <c r="K660" s="4" t="s">
        <v>20</v>
      </c>
      <c r="L660" t="s">
        <v>21</v>
      </c>
      <c r="M660">
        <f t="shared" si="30"/>
        <v>21115.514999999999</v>
      </c>
      <c r="N660" s="6">
        <f t="shared" si="31"/>
        <v>0.12447991441364324</v>
      </c>
      <c r="O660" s="6" t="str">
        <f t="shared" si="32"/>
        <v>May</v>
      </c>
    </row>
    <row r="661" spans="1:15">
      <c r="A661" t="s">
        <v>909</v>
      </c>
      <c r="B661" s="2">
        <v>45798</v>
      </c>
      <c r="C661" t="s">
        <v>350</v>
      </c>
      <c r="D661" t="s">
        <v>75</v>
      </c>
      <c r="E661" t="s">
        <v>76</v>
      </c>
      <c r="F661" t="s">
        <v>77</v>
      </c>
      <c r="G661" s="10">
        <v>4</v>
      </c>
      <c r="H661">
        <v>37826.93</v>
      </c>
      <c r="I661" s="6">
        <v>0.1</v>
      </c>
      <c r="J661" s="8">
        <v>4383.38</v>
      </c>
      <c r="K661" s="4" t="s">
        <v>32</v>
      </c>
      <c r="L661" t="s">
        <v>21</v>
      </c>
      <c r="M661">
        <f t="shared" si="30"/>
        <v>3782.6930000000002</v>
      </c>
      <c r="N661" s="6">
        <f t="shared" si="31"/>
        <v>0.11587987711400317</v>
      </c>
      <c r="O661" s="6" t="str">
        <f t="shared" si="32"/>
        <v>May</v>
      </c>
    </row>
    <row r="662" spans="1:15">
      <c r="A662" t="s">
        <v>910</v>
      </c>
      <c r="B662" s="2">
        <v>45709</v>
      </c>
      <c r="C662" t="s">
        <v>135</v>
      </c>
      <c r="D662" t="s">
        <v>39</v>
      </c>
      <c r="E662" t="s">
        <v>40</v>
      </c>
      <c r="F662" t="s">
        <v>77</v>
      </c>
      <c r="G662" s="10">
        <v>3</v>
      </c>
      <c r="H662">
        <v>5027.84</v>
      </c>
      <c r="I662" s="6">
        <v>0</v>
      </c>
      <c r="J662" s="8">
        <v>1442.11</v>
      </c>
      <c r="K662" s="4" t="s">
        <v>32</v>
      </c>
      <c r="L662" t="s">
        <v>36</v>
      </c>
      <c r="M662">
        <f t="shared" si="30"/>
        <v>0</v>
      </c>
      <c r="N662" s="6">
        <f t="shared" si="31"/>
        <v>0.28682495863034618</v>
      </c>
      <c r="O662" s="6" t="str">
        <f t="shared" si="32"/>
        <v>Feb</v>
      </c>
    </row>
    <row r="663" spans="1:15">
      <c r="A663" t="s">
        <v>911</v>
      </c>
      <c r="B663" s="2">
        <v>45721</v>
      </c>
      <c r="C663" t="s">
        <v>583</v>
      </c>
      <c r="D663" t="s">
        <v>45</v>
      </c>
      <c r="E663" t="s">
        <v>18</v>
      </c>
      <c r="F663" t="s">
        <v>70</v>
      </c>
      <c r="G663" s="10">
        <v>3</v>
      </c>
      <c r="H663">
        <v>9193.77</v>
      </c>
      <c r="I663" s="6">
        <v>0.05</v>
      </c>
      <c r="J663" s="8">
        <v>2480.0100000000002</v>
      </c>
      <c r="K663" s="4" t="s">
        <v>20</v>
      </c>
      <c r="L663" t="s">
        <v>36</v>
      </c>
      <c r="M663">
        <f t="shared" si="30"/>
        <v>459.68850000000003</v>
      </c>
      <c r="N663" s="6">
        <f t="shared" si="31"/>
        <v>0.26974897131427045</v>
      </c>
      <c r="O663" s="6" t="str">
        <f t="shared" si="32"/>
        <v>Mar</v>
      </c>
    </row>
    <row r="664" spans="1:15">
      <c r="A664" t="s">
        <v>912</v>
      </c>
      <c r="B664" s="2">
        <v>45957</v>
      </c>
      <c r="C664" t="s">
        <v>300</v>
      </c>
      <c r="D664" t="s">
        <v>45</v>
      </c>
      <c r="E664" t="s">
        <v>18</v>
      </c>
      <c r="F664" t="s">
        <v>19</v>
      </c>
      <c r="G664" s="10">
        <v>4</v>
      </c>
      <c r="H664">
        <v>13819.89</v>
      </c>
      <c r="I664" s="6">
        <v>0</v>
      </c>
      <c r="J664" s="8">
        <v>1315.59</v>
      </c>
      <c r="K664" s="4" t="s">
        <v>42</v>
      </c>
      <c r="L664" t="s">
        <v>21</v>
      </c>
      <c r="M664">
        <f t="shared" si="30"/>
        <v>0</v>
      </c>
      <c r="N664" s="6">
        <f t="shared" si="31"/>
        <v>9.5195403147203053E-2</v>
      </c>
      <c r="O664" s="6" t="str">
        <f t="shared" si="32"/>
        <v>Oct</v>
      </c>
    </row>
    <row r="665" spans="1:15">
      <c r="A665" t="s">
        <v>913</v>
      </c>
      <c r="B665" s="2">
        <v>45773</v>
      </c>
      <c r="C665" t="s">
        <v>455</v>
      </c>
      <c r="D665" t="s">
        <v>95</v>
      </c>
      <c r="E665" t="s">
        <v>76</v>
      </c>
      <c r="F665" t="s">
        <v>19</v>
      </c>
      <c r="G665" s="10">
        <v>3</v>
      </c>
      <c r="H665">
        <v>12098.28</v>
      </c>
      <c r="I665" s="6">
        <v>0.25</v>
      </c>
      <c r="J665" s="8">
        <v>888.42</v>
      </c>
      <c r="K665" s="4" t="s">
        <v>65</v>
      </c>
      <c r="L665" t="s">
        <v>36</v>
      </c>
      <c r="M665">
        <f t="shared" si="30"/>
        <v>3024.57</v>
      </c>
      <c r="N665" s="6">
        <f t="shared" si="31"/>
        <v>7.3433578988087556E-2</v>
      </c>
      <c r="O665" s="6" t="str">
        <f t="shared" si="32"/>
        <v>Apr</v>
      </c>
    </row>
    <row r="666" spans="1:15">
      <c r="A666" t="s">
        <v>914</v>
      </c>
      <c r="B666" s="2">
        <v>45841</v>
      </c>
      <c r="C666" t="s">
        <v>135</v>
      </c>
      <c r="D666" t="s">
        <v>250</v>
      </c>
      <c r="E666" t="s">
        <v>76</v>
      </c>
      <c r="F666" t="s">
        <v>31</v>
      </c>
      <c r="G666" s="10">
        <v>1</v>
      </c>
      <c r="H666">
        <v>6774.74</v>
      </c>
      <c r="I666" s="6">
        <v>0.15</v>
      </c>
      <c r="J666" s="8">
        <v>1282.43</v>
      </c>
      <c r="K666" s="4" t="s">
        <v>65</v>
      </c>
      <c r="L666" t="s">
        <v>21</v>
      </c>
      <c r="M666">
        <f t="shared" si="30"/>
        <v>1016.2109999999999</v>
      </c>
      <c r="N666" s="6">
        <f t="shared" si="31"/>
        <v>0.18929582537484835</v>
      </c>
      <c r="O666" s="6" t="str">
        <f t="shared" si="32"/>
        <v>Jul</v>
      </c>
    </row>
    <row r="667" spans="1:15">
      <c r="A667" t="s">
        <v>915</v>
      </c>
      <c r="B667" s="2">
        <v>45836</v>
      </c>
      <c r="C667" t="s">
        <v>534</v>
      </c>
      <c r="D667" t="s">
        <v>56</v>
      </c>
      <c r="E667" t="s">
        <v>40</v>
      </c>
      <c r="F667" t="s">
        <v>70</v>
      </c>
      <c r="G667" s="10">
        <v>5</v>
      </c>
      <c r="H667">
        <v>6584.34</v>
      </c>
      <c r="I667" s="6">
        <v>0.1</v>
      </c>
      <c r="J667" s="8">
        <v>1314.78</v>
      </c>
      <c r="K667" s="4" t="s">
        <v>42</v>
      </c>
      <c r="L667" t="s">
        <v>21</v>
      </c>
      <c r="M667">
        <f t="shared" si="30"/>
        <v>658.43400000000008</v>
      </c>
      <c r="N667" s="6">
        <f t="shared" si="31"/>
        <v>0.19968288393369721</v>
      </c>
      <c r="O667" s="6" t="str">
        <f t="shared" si="32"/>
        <v>Jun</v>
      </c>
    </row>
    <row r="668" spans="1:15">
      <c r="A668" t="s">
        <v>916</v>
      </c>
      <c r="B668" s="2">
        <v>45680</v>
      </c>
      <c r="C668" t="s">
        <v>254</v>
      </c>
      <c r="D668" t="s">
        <v>126</v>
      </c>
      <c r="E668" t="s">
        <v>76</v>
      </c>
      <c r="F668" t="s">
        <v>26</v>
      </c>
      <c r="G668" s="10">
        <v>1</v>
      </c>
      <c r="H668">
        <v>9861.98</v>
      </c>
      <c r="I668" s="6">
        <v>0.1</v>
      </c>
      <c r="J668" s="8">
        <v>741.09</v>
      </c>
      <c r="K668" s="4" t="s">
        <v>42</v>
      </c>
      <c r="L668" t="s">
        <v>21</v>
      </c>
      <c r="M668">
        <f t="shared" si="30"/>
        <v>986.19799999999998</v>
      </c>
      <c r="N668" s="6">
        <f t="shared" si="31"/>
        <v>7.5146167402489167E-2</v>
      </c>
      <c r="O668" s="6" t="str">
        <f t="shared" si="32"/>
        <v>Jan</v>
      </c>
    </row>
    <row r="669" spans="1:15">
      <c r="A669" t="s">
        <v>917</v>
      </c>
      <c r="B669" s="2">
        <v>45997</v>
      </c>
      <c r="C669" t="s">
        <v>325</v>
      </c>
      <c r="D669" t="s">
        <v>146</v>
      </c>
      <c r="E669" t="s">
        <v>25</v>
      </c>
      <c r="F669" t="s">
        <v>26</v>
      </c>
      <c r="G669" s="10">
        <v>2</v>
      </c>
      <c r="H669">
        <v>7747.66</v>
      </c>
      <c r="I669" s="6">
        <v>0.1</v>
      </c>
      <c r="J669" s="8">
        <v>450.6</v>
      </c>
      <c r="K669" s="4" t="s">
        <v>27</v>
      </c>
      <c r="L669" t="s">
        <v>21</v>
      </c>
      <c r="M669">
        <f t="shared" si="30"/>
        <v>774.76600000000008</v>
      </c>
      <c r="N669" s="6">
        <f t="shared" si="31"/>
        <v>5.8159495899407047E-2</v>
      </c>
      <c r="O669" s="6" t="str">
        <f t="shared" si="32"/>
        <v>Dec</v>
      </c>
    </row>
    <row r="670" spans="1:15">
      <c r="A670" t="s">
        <v>918</v>
      </c>
      <c r="B670" s="2">
        <v>45832</v>
      </c>
      <c r="C670" t="s">
        <v>47</v>
      </c>
      <c r="D670" t="s">
        <v>58</v>
      </c>
      <c r="E670" t="s">
        <v>25</v>
      </c>
      <c r="F670" t="s">
        <v>107</v>
      </c>
      <c r="G670" s="10">
        <v>2</v>
      </c>
      <c r="H670">
        <v>7685.42</v>
      </c>
      <c r="I670" s="6">
        <v>0</v>
      </c>
      <c r="J670" s="8">
        <v>650.39</v>
      </c>
      <c r="K670" s="4" t="s">
        <v>32</v>
      </c>
      <c r="L670" t="s">
        <v>21</v>
      </c>
      <c r="M670">
        <f t="shared" si="30"/>
        <v>0</v>
      </c>
      <c r="N670" s="6">
        <f t="shared" si="31"/>
        <v>8.4626474545307862E-2</v>
      </c>
      <c r="O670" s="6" t="str">
        <f t="shared" si="32"/>
        <v>Jun</v>
      </c>
    </row>
    <row r="671" spans="1:15">
      <c r="A671" t="s">
        <v>919</v>
      </c>
      <c r="B671" s="2">
        <v>45740</v>
      </c>
      <c r="C671" t="s">
        <v>820</v>
      </c>
      <c r="D671" t="s">
        <v>56</v>
      </c>
      <c r="E671" t="s">
        <v>40</v>
      </c>
      <c r="F671" t="s">
        <v>26</v>
      </c>
      <c r="G671" s="10">
        <v>2</v>
      </c>
      <c r="H671">
        <v>2444.23</v>
      </c>
      <c r="I671" s="6">
        <v>0.1</v>
      </c>
      <c r="J671" s="8">
        <v>353.86</v>
      </c>
      <c r="K671" s="4" t="s">
        <v>20</v>
      </c>
      <c r="L671" t="s">
        <v>36</v>
      </c>
      <c r="M671">
        <f t="shared" si="30"/>
        <v>244.423</v>
      </c>
      <c r="N671" s="6">
        <f t="shared" si="31"/>
        <v>0.14477360968484962</v>
      </c>
      <c r="O671" s="6" t="str">
        <f t="shared" si="32"/>
        <v>Mar</v>
      </c>
    </row>
    <row r="672" spans="1:15">
      <c r="A672" t="s">
        <v>920</v>
      </c>
      <c r="B672" s="2">
        <v>45934</v>
      </c>
      <c r="C672" t="s">
        <v>83</v>
      </c>
      <c r="D672" t="s">
        <v>68</v>
      </c>
      <c r="E672" t="s">
        <v>69</v>
      </c>
      <c r="F672" t="s">
        <v>107</v>
      </c>
      <c r="G672" s="10">
        <v>5</v>
      </c>
      <c r="H672">
        <v>290111.77</v>
      </c>
      <c r="I672" s="6">
        <v>0</v>
      </c>
      <c r="J672" s="8">
        <v>26393.47</v>
      </c>
      <c r="K672" s="4" t="s">
        <v>65</v>
      </c>
      <c r="L672" t="s">
        <v>21</v>
      </c>
      <c r="M672">
        <f t="shared" si="30"/>
        <v>0</v>
      </c>
      <c r="N672" s="6">
        <f t="shared" si="31"/>
        <v>9.0976901764447546E-2</v>
      </c>
      <c r="O672" s="6" t="str">
        <f t="shared" si="32"/>
        <v>Oct</v>
      </c>
    </row>
    <row r="673" spans="1:15">
      <c r="A673" t="s">
        <v>921</v>
      </c>
      <c r="B673" s="2">
        <v>45692</v>
      </c>
      <c r="C673" t="s">
        <v>272</v>
      </c>
      <c r="D673" t="s">
        <v>58</v>
      </c>
      <c r="E673" t="s">
        <v>25</v>
      </c>
      <c r="F673" t="s">
        <v>107</v>
      </c>
      <c r="G673" s="10">
        <v>4</v>
      </c>
      <c r="H673">
        <v>15703.7</v>
      </c>
      <c r="I673" s="6">
        <v>0</v>
      </c>
      <c r="J673" s="8">
        <v>2002.24</v>
      </c>
      <c r="K673" s="4" t="s">
        <v>65</v>
      </c>
      <c r="L673" t="s">
        <v>21</v>
      </c>
      <c r="M673">
        <f t="shared" si="30"/>
        <v>0</v>
      </c>
      <c r="N673" s="6">
        <f t="shared" si="31"/>
        <v>0.12750116214650051</v>
      </c>
      <c r="O673" s="6" t="str">
        <f t="shared" si="32"/>
        <v>Feb</v>
      </c>
    </row>
    <row r="674" spans="1:15">
      <c r="A674" t="s">
        <v>922</v>
      </c>
      <c r="B674" s="2">
        <v>45847</v>
      </c>
      <c r="C674" t="s">
        <v>97</v>
      </c>
      <c r="D674" t="s">
        <v>24</v>
      </c>
      <c r="E674" t="s">
        <v>25</v>
      </c>
      <c r="F674" t="s">
        <v>70</v>
      </c>
      <c r="G674" s="10">
        <v>5</v>
      </c>
      <c r="H674">
        <v>19060.05</v>
      </c>
      <c r="I674" s="6">
        <v>0</v>
      </c>
      <c r="J674" s="8">
        <v>2005.61</v>
      </c>
      <c r="K674" s="4" t="s">
        <v>20</v>
      </c>
      <c r="L674" t="s">
        <v>21</v>
      </c>
      <c r="M674">
        <f t="shared" si="30"/>
        <v>0</v>
      </c>
      <c r="N674" s="6">
        <f t="shared" si="31"/>
        <v>0.10522585197835263</v>
      </c>
      <c r="O674" s="6" t="str">
        <f t="shared" si="32"/>
        <v>Jul</v>
      </c>
    </row>
    <row r="675" spans="1:15">
      <c r="A675" t="s">
        <v>923</v>
      </c>
      <c r="B675" s="2">
        <v>45781</v>
      </c>
      <c r="C675" t="s">
        <v>130</v>
      </c>
      <c r="D675" t="s">
        <v>61</v>
      </c>
      <c r="E675" t="s">
        <v>40</v>
      </c>
      <c r="F675" t="s">
        <v>70</v>
      </c>
      <c r="G675" s="10">
        <v>3</v>
      </c>
      <c r="H675">
        <v>1032.0999999999999</v>
      </c>
      <c r="I675" s="6">
        <v>0.2</v>
      </c>
      <c r="J675" s="8">
        <v>267.87</v>
      </c>
      <c r="K675" s="4" t="s">
        <v>20</v>
      </c>
      <c r="L675" t="s">
        <v>36</v>
      </c>
      <c r="M675">
        <f t="shared" si="30"/>
        <v>206.42</v>
      </c>
      <c r="N675" s="6">
        <f t="shared" si="31"/>
        <v>0.25953880437942062</v>
      </c>
      <c r="O675" s="6" t="str">
        <f t="shared" si="32"/>
        <v>May</v>
      </c>
    </row>
    <row r="676" spans="1:15">
      <c r="A676" t="s">
        <v>924</v>
      </c>
      <c r="B676" s="2">
        <v>46020</v>
      </c>
      <c r="C676" t="s">
        <v>274</v>
      </c>
      <c r="D676" t="s">
        <v>72</v>
      </c>
      <c r="E676" t="s">
        <v>69</v>
      </c>
      <c r="F676" t="s">
        <v>41</v>
      </c>
      <c r="G676" s="10">
        <v>5</v>
      </c>
      <c r="H676">
        <v>22506.81</v>
      </c>
      <c r="I676" s="6">
        <v>0.05</v>
      </c>
      <c r="J676" s="8">
        <v>4636.2700000000004</v>
      </c>
      <c r="K676" s="4" t="s">
        <v>65</v>
      </c>
      <c r="L676" t="s">
        <v>21</v>
      </c>
      <c r="M676">
        <f t="shared" si="30"/>
        <v>1125.3405</v>
      </c>
      <c r="N676" s="6">
        <f t="shared" si="31"/>
        <v>0.20599409689778339</v>
      </c>
      <c r="O676" s="6" t="str">
        <f t="shared" si="32"/>
        <v>Dec</v>
      </c>
    </row>
    <row r="677" spans="1:15">
      <c r="A677" t="s">
        <v>925</v>
      </c>
      <c r="B677" s="2">
        <v>45882</v>
      </c>
      <c r="C677" t="s">
        <v>678</v>
      </c>
      <c r="D677" t="s">
        <v>30</v>
      </c>
      <c r="E677" t="s">
        <v>18</v>
      </c>
      <c r="F677" t="s">
        <v>41</v>
      </c>
      <c r="G677" s="10">
        <v>1</v>
      </c>
      <c r="H677">
        <v>2005.05</v>
      </c>
      <c r="I677" s="6">
        <v>0.05</v>
      </c>
      <c r="J677" s="8">
        <v>428.24</v>
      </c>
      <c r="K677" s="4" t="s">
        <v>20</v>
      </c>
      <c r="L677" t="s">
        <v>21</v>
      </c>
      <c r="M677">
        <f t="shared" si="30"/>
        <v>100.2525</v>
      </c>
      <c r="N677" s="6">
        <f t="shared" si="31"/>
        <v>0.213580708710506</v>
      </c>
      <c r="O677" s="6" t="str">
        <f t="shared" si="32"/>
        <v>Aug</v>
      </c>
    </row>
    <row r="678" spans="1:15">
      <c r="A678" t="s">
        <v>926</v>
      </c>
      <c r="B678" s="2">
        <v>45863</v>
      </c>
      <c r="C678" t="s">
        <v>580</v>
      </c>
      <c r="D678" t="s">
        <v>90</v>
      </c>
      <c r="E678" t="s">
        <v>69</v>
      </c>
      <c r="F678" t="s">
        <v>107</v>
      </c>
      <c r="G678" s="10">
        <v>3</v>
      </c>
      <c r="H678">
        <v>81820.960000000006</v>
      </c>
      <c r="I678" s="6">
        <v>0.25</v>
      </c>
      <c r="J678" s="8">
        <v>17008.79</v>
      </c>
      <c r="K678" s="4" t="s">
        <v>65</v>
      </c>
      <c r="L678" t="s">
        <v>36</v>
      </c>
      <c r="M678">
        <f t="shared" si="30"/>
        <v>20455.240000000002</v>
      </c>
      <c r="N678" s="6">
        <f t="shared" si="31"/>
        <v>0.20787815249295535</v>
      </c>
      <c r="O678" s="6" t="str">
        <f t="shared" si="32"/>
        <v>Jul</v>
      </c>
    </row>
    <row r="679" spans="1:15">
      <c r="A679" t="s">
        <v>927</v>
      </c>
      <c r="B679" s="2">
        <v>45917</v>
      </c>
      <c r="C679" t="s">
        <v>135</v>
      </c>
      <c r="D679" t="s">
        <v>191</v>
      </c>
      <c r="E679" t="s">
        <v>69</v>
      </c>
      <c r="F679" t="s">
        <v>41</v>
      </c>
      <c r="G679" s="10">
        <v>4</v>
      </c>
      <c r="H679">
        <v>170763.34</v>
      </c>
      <c r="I679" s="6">
        <v>0.2</v>
      </c>
      <c r="J679" s="8">
        <v>32063.72</v>
      </c>
      <c r="K679" s="4" t="s">
        <v>27</v>
      </c>
      <c r="L679" t="s">
        <v>21</v>
      </c>
      <c r="M679">
        <f t="shared" si="30"/>
        <v>34152.667999999998</v>
      </c>
      <c r="N679" s="6">
        <f t="shared" si="31"/>
        <v>0.18776699963821275</v>
      </c>
      <c r="O679" s="6" t="str">
        <f t="shared" si="32"/>
        <v>Sep</v>
      </c>
    </row>
    <row r="680" spans="1:15">
      <c r="A680" t="s">
        <v>928</v>
      </c>
      <c r="B680" s="2">
        <v>45713</v>
      </c>
      <c r="C680" t="s">
        <v>381</v>
      </c>
      <c r="D680" t="s">
        <v>30</v>
      </c>
      <c r="E680" t="s">
        <v>18</v>
      </c>
      <c r="F680" t="s">
        <v>26</v>
      </c>
      <c r="G680" s="10">
        <v>4</v>
      </c>
      <c r="H680">
        <v>7859.76</v>
      </c>
      <c r="I680" s="6">
        <v>0.25</v>
      </c>
      <c r="J680" s="8">
        <v>1561.7</v>
      </c>
      <c r="K680" s="4" t="s">
        <v>20</v>
      </c>
      <c r="L680" t="s">
        <v>21</v>
      </c>
      <c r="M680">
        <f t="shared" si="30"/>
        <v>1964.94</v>
      </c>
      <c r="N680" s="6">
        <f t="shared" si="31"/>
        <v>0.1986956344722994</v>
      </c>
      <c r="O680" s="6" t="str">
        <f t="shared" si="32"/>
        <v>Feb</v>
      </c>
    </row>
    <row r="681" spans="1:15">
      <c r="A681" t="s">
        <v>929</v>
      </c>
      <c r="B681" s="2">
        <v>46010</v>
      </c>
      <c r="C681" t="s">
        <v>471</v>
      </c>
      <c r="D681" t="s">
        <v>58</v>
      </c>
      <c r="E681" t="s">
        <v>25</v>
      </c>
      <c r="F681" t="s">
        <v>41</v>
      </c>
      <c r="G681" s="10">
        <v>2</v>
      </c>
      <c r="H681">
        <v>6419.11</v>
      </c>
      <c r="I681" s="6">
        <v>0.15</v>
      </c>
      <c r="J681" s="8">
        <v>1109.83</v>
      </c>
      <c r="K681" s="4" t="s">
        <v>32</v>
      </c>
      <c r="L681" t="s">
        <v>21</v>
      </c>
      <c r="M681">
        <f t="shared" si="30"/>
        <v>962.86649999999986</v>
      </c>
      <c r="N681" s="6">
        <f t="shared" si="31"/>
        <v>0.17289468477717315</v>
      </c>
      <c r="O681" s="6" t="str">
        <f t="shared" si="32"/>
        <v>Dec</v>
      </c>
    </row>
    <row r="682" spans="1:15">
      <c r="A682" t="s">
        <v>930</v>
      </c>
      <c r="B682" s="2">
        <v>45991</v>
      </c>
      <c r="C682" t="s">
        <v>426</v>
      </c>
      <c r="D682" t="s">
        <v>39</v>
      </c>
      <c r="E682" t="s">
        <v>40</v>
      </c>
      <c r="F682" t="s">
        <v>77</v>
      </c>
      <c r="G682" s="10">
        <v>3</v>
      </c>
      <c r="H682">
        <v>3342.13</v>
      </c>
      <c r="I682" s="6">
        <v>0</v>
      </c>
      <c r="J682" s="8">
        <v>781.68</v>
      </c>
      <c r="K682" s="4" t="s">
        <v>42</v>
      </c>
      <c r="L682" t="s">
        <v>36</v>
      </c>
      <c r="M682">
        <f t="shared" si="30"/>
        <v>0</v>
      </c>
      <c r="N682" s="6">
        <f t="shared" si="31"/>
        <v>0.23388677280656345</v>
      </c>
      <c r="O682" s="6" t="str">
        <f t="shared" si="32"/>
        <v>Nov</v>
      </c>
    </row>
    <row r="683" spans="1:15">
      <c r="A683" t="s">
        <v>931</v>
      </c>
      <c r="B683" s="2">
        <v>45953</v>
      </c>
      <c r="C683" t="s">
        <v>439</v>
      </c>
      <c r="D683" t="s">
        <v>56</v>
      </c>
      <c r="E683" t="s">
        <v>40</v>
      </c>
      <c r="F683" t="s">
        <v>35</v>
      </c>
      <c r="G683" s="10">
        <v>1</v>
      </c>
      <c r="H683">
        <v>1265.7</v>
      </c>
      <c r="I683" s="6">
        <v>0.15</v>
      </c>
      <c r="J683" s="8">
        <v>134.03</v>
      </c>
      <c r="K683" s="4" t="s">
        <v>27</v>
      </c>
      <c r="L683" t="s">
        <v>36</v>
      </c>
      <c r="M683">
        <f t="shared" si="30"/>
        <v>189.85499999999999</v>
      </c>
      <c r="N683" s="6">
        <f t="shared" si="31"/>
        <v>0.10589397171525637</v>
      </c>
      <c r="O683" s="6" t="str">
        <f t="shared" si="32"/>
        <v>Oct</v>
      </c>
    </row>
    <row r="684" spans="1:15">
      <c r="A684" t="s">
        <v>932</v>
      </c>
      <c r="B684" s="2">
        <v>45680</v>
      </c>
      <c r="C684" t="s">
        <v>106</v>
      </c>
      <c r="D684" t="s">
        <v>217</v>
      </c>
      <c r="E684" t="s">
        <v>18</v>
      </c>
      <c r="F684" t="s">
        <v>35</v>
      </c>
      <c r="G684" s="10">
        <v>3</v>
      </c>
      <c r="H684">
        <v>7448.55</v>
      </c>
      <c r="I684" s="6">
        <v>0.2</v>
      </c>
      <c r="J684" s="8">
        <v>488.98</v>
      </c>
      <c r="K684" s="4" t="s">
        <v>65</v>
      </c>
      <c r="L684" t="s">
        <v>36</v>
      </c>
      <c r="M684">
        <f t="shared" si="30"/>
        <v>1489.71</v>
      </c>
      <c r="N684" s="6">
        <f t="shared" si="31"/>
        <v>6.5647676393392002E-2</v>
      </c>
      <c r="O684" s="6" t="str">
        <f t="shared" si="32"/>
        <v>Jan</v>
      </c>
    </row>
    <row r="685" spans="1:15">
      <c r="A685" t="s">
        <v>933</v>
      </c>
      <c r="B685" s="2">
        <v>45708</v>
      </c>
      <c r="C685" t="s">
        <v>200</v>
      </c>
      <c r="D685" t="s">
        <v>39</v>
      </c>
      <c r="E685" t="s">
        <v>40</v>
      </c>
      <c r="F685" t="s">
        <v>26</v>
      </c>
      <c r="G685" s="10">
        <v>5</v>
      </c>
      <c r="H685">
        <v>7725.16</v>
      </c>
      <c r="I685" s="6">
        <v>0.1</v>
      </c>
      <c r="J685" s="8">
        <v>1284.29</v>
      </c>
      <c r="K685" s="4" t="s">
        <v>27</v>
      </c>
      <c r="L685" t="s">
        <v>21</v>
      </c>
      <c r="M685">
        <f t="shared" si="30"/>
        <v>772.51600000000008</v>
      </c>
      <c r="N685" s="6">
        <f t="shared" si="31"/>
        <v>0.1662476893682461</v>
      </c>
      <c r="O685" s="6" t="str">
        <f t="shared" si="32"/>
        <v>Feb</v>
      </c>
    </row>
    <row r="686" spans="1:15">
      <c r="A686" t="s">
        <v>934</v>
      </c>
      <c r="B686" s="2">
        <v>45696</v>
      </c>
      <c r="C686" t="s">
        <v>252</v>
      </c>
      <c r="D686" t="s">
        <v>87</v>
      </c>
      <c r="E686" t="s">
        <v>25</v>
      </c>
      <c r="F686" t="s">
        <v>19</v>
      </c>
      <c r="G686" s="10">
        <v>3</v>
      </c>
      <c r="H686">
        <v>12430.82</v>
      </c>
      <c r="I686" s="6">
        <v>0</v>
      </c>
      <c r="J686" s="8">
        <v>3065.93</v>
      </c>
      <c r="K686" s="4" t="s">
        <v>65</v>
      </c>
      <c r="L686" t="s">
        <v>21</v>
      </c>
      <c r="M686">
        <f t="shared" si="30"/>
        <v>0</v>
      </c>
      <c r="N686" s="6">
        <f t="shared" si="31"/>
        <v>0.24663940110145588</v>
      </c>
      <c r="O686" s="6" t="str">
        <f t="shared" si="32"/>
        <v>Feb</v>
      </c>
    </row>
    <row r="687" spans="1:15">
      <c r="A687" t="s">
        <v>935</v>
      </c>
      <c r="B687" s="2">
        <v>45845</v>
      </c>
      <c r="C687" t="s">
        <v>190</v>
      </c>
      <c r="D687" t="s">
        <v>50</v>
      </c>
      <c r="E687" t="s">
        <v>40</v>
      </c>
      <c r="F687" t="s">
        <v>19</v>
      </c>
      <c r="G687" s="10">
        <v>2</v>
      </c>
      <c r="H687">
        <v>3513.24</v>
      </c>
      <c r="I687" s="6">
        <v>0.1</v>
      </c>
      <c r="J687" s="8">
        <v>648.33000000000004</v>
      </c>
      <c r="K687" s="4" t="s">
        <v>32</v>
      </c>
      <c r="L687" t="s">
        <v>21</v>
      </c>
      <c r="M687">
        <f t="shared" si="30"/>
        <v>351.32400000000001</v>
      </c>
      <c r="N687" s="6">
        <f t="shared" si="31"/>
        <v>0.18453905796358919</v>
      </c>
      <c r="O687" s="6" t="str">
        <f t="shared" si="32"/>
        <v>Jul</v>
      </c>
    </row>
    <row r="688" spans="1:15">
      <c r="A688" t="s">
        <v>936</v>
      </c>
      <c r="B688" s="2">
        <v>45960</v>
      </c>
      <c r="C688" t="s">
        <v>361</v>
      </c>
      <c r="D688" t="s">
        <v>217</v>
      </c>
      <c r="E688" t="s">
        <v>18</v>
      </c>
      <c r="F688" t="s">
        <v>35</v>
      </c>
      <c r="G688" s="10">
        <v>1</v>
      </c>
      <c r="H688">
        <v>3290.92</v>
      </c>
      <c r="I688" s="6">
        <v>0.05</v>
      </c>
      <c r="J688" s="8">
        <v>526.6</v>
      </c>
      <c r="K688" s="4" t="s">
        <v>42</v>
      </c>
      <c r="L688" t="s">
        <v>21</v>
      </c>
      <c r="M688">
        <f t="shared" si="30"/>
        <v>164.54600000000002</v>
      </c>
      <c r="N688" s="6">
        <f t="shared" si="31"/>
        <v>0.16001604414571002</v>
      </c>
      <c r="O688" s="6" t="str">
        <f t="shared" si="32"/>
        <v>Oct</v>
      </c>
    </row>
    <row r="689" spans="1:15">
      <c r="A689" t="s">
        <v>937</v>
      </c>
      <c r="B689" s="2">
        <v>45722</v>
      </c>
      <c r="C689" t="s">
        <v>938</v>
      </c>
      <c r="D689" t="s">
        <v>95</v>
      </c>
      <c r="E689" t="s">
        <v>76</v>
      </c>
      <c r="F689" t="s">
        <v>31</v>
      </c>
      <c r="G689" s="10">
        <v>2</v>
      </c>
      <c r="H689">
        <v>10269.92</v>
      </c>
      <c r="I689" s="6">
        <v>0.1</v>
      </c>
      <c r="J689" s="8">
        <v>1298.32</v>
      </c>
      <c r="K689" s="4" t="s">
        <v>20</v>
      </c>
      <c r="L689" t="s">
        <v>21</v>
      </c>
      <c r="M689">
        <f t="shared" si="30"/>
        <v>1026.992</v>
      </c>
      <c r="N689" s="6">
        <f t="shared" si="31"/>
        <v>0.12641967999750728</v>
      </c>
      <c r="O689" s="6" t="str">
        <f t="shared" si="32"/>
        <v>Mar</v>
      </c>
    </row>
    <row r="690" spans="1:15">
      <c r="A690" t="s">
        <v>939</v>
      </c>
      <c r="B690" s="2">
        <v>45786</v>
      </c>
      <c r="C690" t="s">
        <v>543</v>
      </c>
      <c r="D690" t="s">
        <v>217</v>
      </c>
      <c r="E690" t="s">
        <v>18</v>
      </c>
      <c r="F690" t="s">
        <v>31</v>
      </c>
      <c r="G690" s="10">
        <v>1</v>
      </c>
      <c r="H690">
        <v>2257.7600000000002</v>
      </c>
      <c r="I690" s="6">
        <v>0.15</v>
      </c>
      <c r="J690" s="8">
        <v>297.27</v>
      </c>
      <c r="K690" s="4" t="s">
        <v>20</v>
      </c>
      <c r="L690" t="s">
        <v>21</v>
      </c>
      <c r="M690">
        <f t="shared" si="30"/>
        <v>338.66400000000004</v>
      </c>
      <c r="N690" s="6">
        <f t="shared" si="31"/>
        <v>0.13166589894408615</v>
      </c>
      <c r="O690" s="6" t="str">
        <f t="shared" si="32"/>
        <v>May</v>
      </c>
    </row>
    <row r="691" spans="1:15">
      <c r="A691" t="s">
        <v>940</v>
      </c>
      <c r="B691" s="2">
        <v>45993</v>
      </c>
      <c r="C691" t="s">
        <v>94</v>
      </c>
      <c r="D691" t="s">
        <v>39</v>
      </c>
      <c r="E691" t="s">
        <v>40</v>
      </c>
      <c r="F691" t="s">
        <v>41</v>
      </c>
      <c r="G691" s="10">
        <v>1</v>
      </c>
      <c r="H691">
        <v>697.2</v>
      </c>
      <c r="I691" s="6">
        <v>0.1</v>
      </c>
      <c r="J691" s="8">
        <v>44.06</v>
      </c>
      <c r="K691" s="4" t="s">
        <v>27</v>
      </c>
      <c r="L691" t="s">
        <v>21</v>
      </c>
      <c r="M691">
        <f t="shared" si="30"/>
        <v>69.720000000000013</v>
      </c>
      <c r="N691" s="6">
        <f t="shared" si="31"/>
        <v>6.3195639701663794E-2</v>
      </c>
      <c r="O691" s="6" t="str">
        <f t="shared" si="32"/>
        <v>Dec</v>
      </c>
    </row>
    <row r="692" spans="1:15">
      <c r="A692" t="s">
        <v>941</v>
      </c>
      <c r="B692" s="2">
        <v>45795</v>
      </c>
      <c r="C692" t="s">
        <v>214</v>
      </c>
      <c r="D692" t="s">
        <v>250</v>
      </c>
      <c r="E692" t="s">
        <v>76</v>
      </c>
      <c r="F692" t="s">
        <v>19</v>
      </c>
      <c r="G692" s="10">
        <v>3</v>
      </c>
      <c r="H692">
        <v>30967.3</v>
      </c>
      <c r="I692" s="6">
        <v>0.15</v>
      </c>
      <c r="J692" s="8">
        <v>6094.98</v>
      </c>
      <c r="K692" s="4" t="s">
        <v>27</v>
      </c>
      <c r="L692" t="s">
        <v>21</v>
      </c>
      <c r="M692">
        <f t="shared" si="30"/>
        <v>4645.0949999999993</v>
      </c>
      <c r="N692" s="6">
        <f t="shared" si="31"/>
        <v>0.19681987128357978</v>
      </c>
      <c r="O692" s="6" t="str">
        <f t="shared" si="32"/>
        <v>May</v>
      </c>
    </row>
    <row r="693" spans="1:15">
      <c r="A693" t="s">
        <v>942</v>
      </c>
      <c r="B693" s="2">
        <v>45910</v>
      </c>
      <c r="C693" t="s">
        <v>943</v>
      </c>
      <c r="D693" t="s">
        <v>58</v>
      </c>
      <c r="E693" t="s">
        <v>25</v>
      </c>
      <c r="F693" t="s">
        <v>26</v>
      </c>
      <c r="G693" s="10">
        <v>2</v>
      </c>
      <c r="H693">
        <v>4195.3500000000004</v>
      </c>
      <c r="I693" s="6">
        <v>0</v>
      </c>
      <c r="J693" s="8">
        <v>737.76</v>
      </c>
      <c r="K693" s="4" t="s">
        <v>32</v>
      </c>
      <c r="L693" t="s">
        <v>36</v>
      </c>
      <c r="M693">
        <f t="shared" si="30"/>
        <v>0</v>
      </c>
      <c r="N693" s="6">
        <f t="shared" si="31"/>
        <v>0.17585183596124279</v>
      </c>
      <c r="O693" s="6" t="str">
        <f t="shared" si="32"/>
        <v>Sep</v>
      </c>
    </row>
    <row r="694" spans="1:15">
      <c r="A694" t="s">
        <v>944</v>
      </c>
      <c r="B694" s="2">
        <v>45730</v>
      </c>
      <c r="C694" t="s">
        <v>220</v>
      </c>
      <c r="D694" t="s">
        <v>126</v>
      </c>
      <c r="E694" t="s">
        <v>76</v>
      </c>
      <c r="F694" t="s">
        <v>41</v>
      </c>
      <c r="G694" s="10">
        <v>4</v>
      </c>
      <c r="H694">
        <v>28572.61</v>
      </c>
      <c r="I694" s="6">
        <v>0.15</v>
      </c>
      <c r="J694" s="8">
        <v>3327.03</v>
      </c>
      <c r="K694" s="4" t="s">
        <v>65</v>
      </c>
      <c r="L694" t="s">
        <v>21</v>
      </c>
      <c r="M694">
        <f t="shared" si="30"/>
        <v>4285.8914999999997</v>
      </c>
      <c r="N694" s="6">
        <f t="shared" si="31"/>
        <v>0.11644123515492635</v>
      </c>
      <c r="O694" s="6" t="str">
        <f t="shared" si="32"/>
        <v>Mar</v>
      </c>
    </row>
    <row r="695" spans="1:15">
      <c r="A695" t="s">
        <v>945</v>
      </c>
      <c r="B695" s="2">
        <v>45956</v>
      </c>
      <c r="C695" t="s">
        <v>552</v>
      </c>
      <c r="D695" t="s">
        <v>250</v>
      </c>
      <c r="E695" t="s">
        <v>76</v>
      </c>
      <c r="F695" t="s">
        <v>19</v>
      </c>
      <c r="G695" s="10">
        <v>1</v>
      </c>
      <c r="H695">
        <v>2049.35</v>
      </c>
      <c r="I695" s="6">
        <v>0.25</v>
      </c>
      <c r="J695" s="8">
        <v>235.38</v>
      </c>
      <c r="K695" s="4" t="s">
        <v>65</v>
      </c>
      <c r="L695" t="s">
        <v>21</v>
      </c>
      <c r="M695">
        <f t="shared" si="30"/>
        <v>512.33749999999998</v>
      </c>
      <c r="N695" s="6">
        <f t="shared" si="31"/>
        <v>0.11485592992900188</v>
      </c>
      <c r="O695" s="6" t="str">
        <f t="shared" si="32"/>
        <v>Oct</v>
      </c>
    </row>
    <row r="696" spans="1:15">
      <c r="A696" t="s">
        <v>946</v>
      </c>
      <c r="B696" s="2">
        <v>45994</v>
      </c>
      <c r="C696" t="s">
        <v>583</v>
      </c>
      <c r="D696" t="s">
        <v>24</v>
      </c>
      <c r="E696" t="s">
        <v>25</v>
      </c>
      <c r="F696" t="s">
        <v>31</v>
      </c>
      <c r="G696" s="10">
        <v>2</v>
      </c>
      <c r="H696">
        <v>6395.11</v>
      </c>
      <c r="I696" s="6">
        <v>0.2</v>
      </c>
      <c r="J696" s="8">
        <v>1065.55</v>
      </c>
      <c r="K696" s="4" t="s">
        <v>42</v>
      </c>
      <c r="L696" t="s">
        <v>36</v>
      </c>
      <c r="M696">
        <f t="shared" si="30"/>
        <v>1279.0219999999999</v>
      </c>
      <c r="N696" s="6">
        <f t="shared" si="31"/>
        <v>0.16661949520805741</v>
      </c>
      <c r="O696" s="6" t="str">
        <f t="shared" si="32"/>
        <v>Dec</v>
      </c>
    </row>
    <row r="697" spans="1:15">
      <c r="A697" t="s">
        <v>947</v>
      </c>
      <c r="B697" s="2">
        <v>45789</v>
      </c>
      <c r="C697" t="s">
        <v>479</v>
      </c>
      <c r="D697" t="s">
        <v>58</v>
      </c>
      <c r="E697" t="s">
        <v>25</v>
      </c>
      <c r="F697" t="s">
        <v>19</v>
      </c>
      <c r="G697" s="10">
        <v>5</v>
      </c>
      <c r="H697">
        <v>14734.36</v>
      </c>
      <c r="I697" s="6">
        <v>0</v>
      </c>
      <c r="J697" s="8">
        <v>1231.68</v>
      </c>
      <c r="K697" s="4" t="s">
        <v>27</v>
      </c>
      <c r="L697" t="s">
        <v>36</v>
      </c>
      <c r="M697">
        <f t="shared" si="30"/>
        <v>0</v>
      </c>
      <c r="N697" s="6">
        <f t="shared" si="31"/>
        <v>8.3592365056914586E-2</v>
      </c>
      <c r="O697" s="6" t="str">
        <f t="shared" si="32"/>
        <v>May</v>
      </c>
    </row>
    <row r="698" spans="1:15">
      <c r="A698" t="s">
        <v>948</v>
      </c>
      <c r="B698" s="2">
        <v>45692</v>
      </c>
      <c r="C698" t="s">
        <v>63</v>
      </c>
      <c r="D698" t="s">
        <v>75</v>
      </c>
      <c r="E698" t="s">
        <v>76</v>
      </c>
      <c r="F698" t="s">
        <v>26</v>
      </c>
      <c r="G698" s="10">
        <v>1</v>
      </c>
      <c r="H698">
        <v>12231.49</v>
      </c>
      <c r="I698" s="6">
        <v>0.05</v>
      </c>
      <c r="J698" s="8">
        <v>3322.53</v>
      </c>
      <c r="K698" s="4" t="s">
        <v>32</v>
      </c>
      <c r="L698" t="s">
        <v>21</v>
      </c>
      <c r="M698">
        <f t="shared" si="30"/>
        <v>611.57450000000006</v>
      </c>
      <c r="N698" s="6">
        <f t="shared" si="31"/>
        <v>0.27163738841302248</v>
      </c>
      <c r="O698" s="6" t="str">
        <f t="shared" si="32"/>
        <v>Feb</v>
      </c>
    </row>
    <row r="699" spans="1:15">
      <c r="A699" t="s">
        <v>949</v>
      </c>
      <c r="B699" s="2">
        <v>45977</v>
      </c>
      <c r="C699" t="s">
        <v>298</v>
      </c>
      <c r="D699" t="s">
        <v>191</v>
      </c>
      <c r="E699" t="s">
        <v>69</v>
      </c>
      <c r="F699" t="s">
        <v>31</v>
      </c>
      <c r="G699" s="10">
        <v>1</v>
      </c>
      <c r="H699">
        <v>32731.57</v>
      </c>
      <c r="I699" s="6">
        <v>0.15</v>
      </c>
      <c r="J699" s="8">
        <v>4760.28</v>
      </c>
      <c r="K699" s="4" t="s">
        <v>27</v>
      </c>
      <c r="L699" t="s">
        <v>21</v>
      </c>
      <c r="M699">
        <f t="shared" si="30"/>
        <v>4909.7354999999998</v>
      </c>
      <c r="N699" s="6">
        <f t="shared" si="31"/>
        <v>0.14543390372047538</v>
      </c>
      <c r="O699" s="6" t="str">
        <f t="shared" si="32"/>
        <v>Nov</v>
      </c>
    </row>
    <row r="700" spans="1:15">
      <c r="A700" t="s">
        <v>950</v>
      </c>
      <c r="B700" s="2">
        <v>45882</v>
      </c>
      <c r="C700" t="s">
        <v>29</v>
      </c>
      <c r="D700" t="s">
        <v>17</v>
      </c>
      <c r="E700" t="s">
        <v>18</v>
      </c>
      <c r="F700" t="s">
        <v>107</v>
      </c>
      <c r="G700" s="10">
        <v>3</v>
      </c>
      <c r="H700">
        <v>5968.66</v>
      </c>
      <c r="I700" s="6">
        <v>0.2</v>
      </c>
      <c r="J700" s="8">
        <v>662.69</v>
      </c>
      <c r="K700" s="4" t="s">
        <v>27</v>
      </c>
      <c r="L700" t="s">
        <v>21</v>
      </c>
      <c r="M700">
        <f t="shared" si="30"/>
        <v>1193.732</v>
      </c>
      <c r="N700" s="6">
        <f t="shared" si="31"/>
        <v>0.11102827100220151</v>
      </c>
      <c r="O700" s="6" t="str">
        <f t="shared" si="32"/>
        <v>Aug</v>
      </c>
    </row>
    <row r="701" spans="1:15">
      <c r="A701" t="s">
        <v>951</v>
      </c>
      <c r="B701" s="2">
        <v>45665</v>
      </c>
      <c r="C701" t="s">
        <v>537</v>
      </c>
      <c r="D701" t="s">
        <v>17</v>
      </c>
      <c r="E701" t="s">
        <v>18</v>
      </c>
      <c r="F701" t="s">
        <v>77</v>
      </c>
      <c r="G701" s="10">
        <v>2</v>
      </c>
      <c r="H701">
        <v>2066.4299999999998</v>
      </c>
      <c r="I701" s="6">
        <v>0.2</v>
      </c>
      <c r="J701" s="8">
        <v>508.26</v>
      </c>
      <c r="K701" s="4" t="s">
        <v>42</v>
      </c>
      <c r="L701" t="s">
        <v>21</v>
      </c>
      <c r="M701">
        <f t="shared" si="30"/>
        <v>413.286</v>
      </c>
      <c r="N701" s="6">
        <f t="shared" si="31"/>
        <v>0.24596042450022504</v>
      </c>
      <c r="O701" s="6" t="str">
        <f t="shared" si="32"/>
        <v>Jan</v>
      </c>
    </row>
    <row r="702" spans="1:15">
      <c r="O702" s="6"/>
    </row>
    <row r="703" spans="1:15">
      <c r="O703" s="6"/>
    </row>
    <row r="704" spans="1:15">
      <c r="O704" s="6"/>
    </row>
  </sheetData>
  <autoFilter ref="A1:L7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2026-09-19T16:09:13Z</dcterms:created>
  <dcterms:modified xsi:type="dcterms:W3CDTF">2026-09-20T04:30:48Z</dcterms:modified>
  <cp:category/>
  <cp:contentStatus/>
</cp:coreProperties>
</file>